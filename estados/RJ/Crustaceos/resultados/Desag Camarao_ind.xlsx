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Proj_MPA\Recontrucao\RJ\Crustaceos\"/>
    </mc:Choice>
  </mc:AlternateContent>
  <xr:revisionPtr revIDLastSave="0" documentId="13_ncr:1_{B7BAF0D7-B9FF-4824-A092-F7FDB3D8ED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J Crustaceos" sheetId="1" r:id="rId1"/>
  </sheets>
  <calcPr calcId="191029"/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<sst xmlns="http://schemas.openxmlformats.org/spreadsheetml/2006/main" count="47" uniqueCount="47">
  <si>
    <t>Ano</t>
  </si>
  <si>
    <t>Camarao_art</t>
  </si>
  <si>
    <t>Camarao_ind</t>
  </si>
  <si>
    <t>Camarao_art_ind</t>
  </si>
  <si>
    <t>Cam_sete_barbas_art</t>
  </si>
  <si>
    <t>Cam_sete_barbas_ind</t>
  </si>
  <si>
    <t>Cam_branco_art</t>
  </si>
  <si>
    <t>Cam_branco_ind</t>
  </si>
  <si>
    <t>Cam_rosa_art</t>
  </si>
  <si>
    <t>Cam_rosa_ind</t>
  </si>
  <si>
    <t>Cam_barba_ruca_art</t>
  </si>
  <si>
    <t>Cam_barba_ruca_ind</t>
  </si>
  <si>
    <t>Cam_santana_art</t>
  </si>
  <si>
    <t>Cam_santana_ind</t>
  </si>
  <si>
    <t>Cam_crista_art</t>
  </si>
  <si>
    <t>Cam_crista_ind</t>
  </si>
  <si>
    <t>Caranguejo_ind</t>
  </si>
  <si>
    <t>Caran_uca_art</t>
  </si>
  <si>
    <t>Guaiamum_art</t>
  </si>
  <si>
    <t>Caran_santola_art</t>
  </si>
  <si>
    <t>Caran_real_ind</t>
  </si>
  <si>
    <t>Caran_ermitao_art</t>
  </si>
  <si>
    <t>Caran_goia_art</t>
  </si>
  <si>
    <t>Caran_goia_ind</t>
  </si>
  <si>
    <t>Lagosta_art</t>
  </si>
  <si>
    <t>Lagosta_ind</t>
  </si>
  <si>
    <t>Lagosta_art_ind</t>
  </si>
  <si>
    <t>Lago_sapateira_art</t>
  </si>
  <si>
    <t>Lago_sapateira_ind</t>
  </si>
  <si>
    <t>Lagostim_art</t>
  </si>
  <si>
    <t>Lagostim_ind</t>
  </si>
  <si>
    <t>Siri_portunidae_art</t>
  </si>
  <si>
    <t>Siri_portunidae_ind</t>
  </si>
  <si>
    <t>Siri_azul_art</t>
  </si>
  <si>
    <t>Siri_azul_ind</t>
  </si>
  <si>
    <t>Siri_azul_art_ind</t>
  </si>
  <si>
    <t>Siri_candeia_art</t>
  </si>
  <si>
    <t>Siri_candeia_ind</t>
  </si>
  <si>
    <t>Siri_chita_art</t>
  </si>
  <si>
    <t>Siri_chita_ind</t>
  </si>
  <si>
    <t>Tamburutaca_art</t>
  </si>
  <si>
    <t>Tamburutaca_ind</t>
  </si>
  <si>
    <t>Outros_crust_art</t>
  </si>
  <si>
    <t>Outros_crust_ind</t>
  </si>
  <si>
    <t>TOTAL_CRUSTACEOS_M</t>
  </si>
  <si>
    <t>TOTAL_CRUSTACEOS_F&amp;M</t>
  </si>
  <si>
    <t>TOTAL_GROUPS_F&amp;M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</si>
</sst>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1"/>
      <color theme="9"/>
      <name val="Calibri"/>
      <family val="2"/>
      <scheme val="minor"/>
    </font>
    <font>
      <sz val="10"/>
      <color theme="9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9"/>
      <name val="Calibri"/>
      <family val="2"/>
    </font>
    <font>
      <sz val="11"/>
      <color rgb="FFFF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5E6A2"/>
        <bgColor theme="4" tint="0.79998168889431442"/>
      </patternFill>
    </fill>
    <fill>
      <patternFill patternType="solid">
        <fgColor rgb="FFA6C9EC"/>
        <bgColor theme="4" tint="0.79998168889431442"/>
      </patternFill>
    </fill>
    <fill>
      <patternFill patternType="solid">
        <fgColor rgb="FFF7C7AC"/>
        <bgColor theme="4" tint="0.799981688894314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4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0" xfId="0" applyAlignment="1">
      <alignment horizontal="center"/>
    </xf>
    <xf numFmtId="164" fontId="3" fillId="0" borderId="2" xfId="0" applyNumberFormat="1" applyFont="1" applyBorder="1"/>
    <xf numFmtId="0" fontId="3" fillId="0" borderId="0" xfId="0" applyFont="1"/>
    <xf numFmtId="0" fontId="3" fillId="0" borderId="5" xfId="0" applyFont="1" applyBorder="1"/>
    <xf numFmtId="0" fontId="3" fillId="0" borderId="2" xfId="0" applyFont="1" applyBorder="1"/>
    <xf numFmtId="164" fontId="3" fillId="0" borderId="0" xfId="0" applyNumberFormat="1" applyFo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0" fillId="0" borderId="7" xfId="0" applyBorder="1" applyAlignment="1">
      <alignment horizontal="left"/>
    </xf>
    <xf numFmtId="0" fontId="5" fillId="0" borderId="0" xfId="0" applyFont="1"/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7" xfId="0" applyBorder="1"/>
    <xf numFmtId="0" fontId="6" fillId="0" borderId="4" xfId="0" applyFont="1" applyBorder="1"/>
    <xf numFmtId="0" fontId="7" fillId="0" borderId="7" xfId="0" applyFont="1" applyBorder="1"/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2" borderId="2" xfId="0" applyFont="1" applyFill="1" applyBorder="1"/>
    <xf numFmtId="0" fontId="7" fillId="3" borderId="1" xfId="0" applyFont="1" applyFill="1" applyBorder="1"/>
    <xf numFmtId="0" fontId="7" fillId="2" borderId="3" xfId="0" applyFont="1" applyFill="1" applyBorder="1"/>
    <xf numFmtId="0" fontId="7" fillId="3" borderId="3" xfId="0" applyFont="1" applyFill="1" applyBorder="1"/>
    <xf numFmtId="0" fontId="7" fillId="2" borderId="6" xfId="0" applyFont="1" applyFill="1" applyBorder="1"/>
    <xf numFmtId="0" fontId="7" fillId="4" borderId="1" xfId="0" applyFont="1" applyFill="1" applyBorder="1"/>
    <xf numFmtId="0" fontId="8" fillId="0" borderId="0" xfId="0" applyFont="1"/>
    <xf numFmtId="0" fontId="7" fillId="0" borderId="4" xfId="0" applyFont="1" applyBorder="1"/>
    <xf numFmtId="0" fontId="0" fillId="0" borderId="4" xfId="0" applyBorder="1"/>
    <xf numFmtId="0" fontId="9" fillId="0" borderId="4" xfId="0" applyFont="1" applyBorder="1"/>
    <xf numFmtId="0" fontId="0" fillId="5" borderId="4" xfId="0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2" xfId="0" applyFont="1" applyBorder="1"/>
    <xf numFmtId="0" fontId="13" fillId="5" borderId="2" xfId="0" applyFont="1" applyFill="1" applyBorder="1"/>
    <xf numFmtId="0" fontId="12" fillId="0" borderId="2" xfId="0" applyFont="1" applyBorder="1"/>
    <xf numFmtId="0" fontId="14" fillId="0" borderId="2" xfId="0" applyFont="1" applyBorder="1"/>
    <xf numFmtId="164" fontId="14" fillId="0" borderId="2" xfId="0" applyNumberFormat="1" applyFont="1" applyBorder="1"/>
    <xf numFmtId="0" fontId="14" fillId="0" borderId="2" xfId="0" applyFont="1" applyBorder="1" applyAlignment="1">
      <alignment horizontal="center"/>
    </xf>
    <xf numFmtId="164" fontId="14" fillId="0" borderId="2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4" fontId="18" fillId="0" borderId="0" xfId="0" applyNumberFormat="1" applyFont="1"/>
    <xf numFmtId="164" fontId="17" fillId="0" borderId="0" xfId="0" applyNumberFormat="1" applyFont="1"/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600"/>
  <sheetViews>
    <sheetView tabSelected="1"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" sqref="E1:P1048576"/>
    </sheetView>
  </sheetViews>
  <sheetFormatPr defaultRowHeight="15" x14ac:dyDescent="0.25"/>
  <cols>
    <col min="1" max="1" width="8.7109375" style="26" customWidth="1"/>
    <col min="2" max="2" width="11" style="11" bestFit="1" customWidth="1"/>
    <col min="3" max="3" width="11.28515625" style="3" bestFit="1" customWidth="1"/>
    <col min="4" max="4" width="14.42578125" style="24" bestFit="1" customWidth="1"/>
    <col min="5" max="5" width="16.7109375" style="1" customWidth="1"/>
    <col min="6" max="6" width="14.7109375" bestFit="1" customWidth="1"/>
    <col min="7" max="7" width="13.85546875" style="1" bestFit="1" customWidth="1"/>
    <col min="8" max="8" width="14.140625" bestFit="1" customWidth="1"/>
    <col min="9" max="9" width="11.7109375" style="1" bestFit="1" customWidth="1"/>
    <col min="10" max="10" width="12" bestFit="1" customWidth="1"/>
    <col min="11" max="11" width="17.28515625" style="1" bestFit="1" customWidth="1"/>
    <col min="12" max="12" width="14.7109375" bestFit="1" customWidth="1"/>
    <col min="13" max="13" width="14.7109375" style="1" bestFit="1" customWidth="1"/>
    <col min="14" max="14" width="14.7109375" bestFit="1" customWidth="1"/>
    <col min="15" max="15" width="12.7109375" style="1" bestFit="1" customWidth="1"/>
    <col min="16" max="16" width="12.85546875" bestFit="1" customWidth="1"/>
    <col min="17" max="17" width="13.28515625" style="1" bestFit="1" customWidth="1"/>
    <col min="18" max="18" width="12.140625" style="1" bestFit="1" customWidth="1"/>
    <col min="19" max="19" width="12.7109375" style="2" bestFit="1" customWidth="1"/>
    <col min="20" max="20" width="15.28515625" style="1" bestFit="1" customWidth="1"/>
    <col min="21" max="21" width="12.7109375" style="1" bestFit="1" customWidth="1"/>
    <col min="22" max="22" width="15.7109375" style="1" bestFit="1" customWidth="1"/>
    <col min="23" max="23" width="12.7109375" style="1" bestFit="1" customWidth="1"/>
    <col min="24" max="24" width="12.85546875" bestFit="1" customWidth="1"/>
    <col min="25" max="25" width="10" style="1" bestFit="1" customWidth="1"/>
    <col min="26" max="26" width="10.28515625" bestFit="1" customWidth="1"/>
    <col min="27" max="27" width="13.42578125" bestFit="1" customWidth="1"/>
    <col min="28" max="28" width="15.85546875" style="1" bestFit="1" customWidth="1"/>
    <col min="29" max="29" width="15.7109375" bestFit="1" customWidth="1"/>
    <col min="30" max="30" width="11.140625" style="1" bestFit="1" customWidth="1"/>
    <col min="31" max="31" width="11.28515625" bestFit="1" customWidth="1"/>
    <col min="32" max="32" width="16.28515625" style="1" bestFit="1" customWidth="1"/>
    <col min="33" max="33" width="14.7109375" bestFit="1" customWidth="1"/>
    <col min="34" max="34" width="10.5703125" style="1" bestFit="1" customWidth="1"/>
    <col min="35" max="35" width="10.7109375" bestFit="1" customWidth="1"/>
    <col min="36" max="36" width="14.42578125" bestFit="1" customWidth="1"/>
    <col min="37" max="37" width="13.5703125" style="1" bestFit="1" customWidth="1"/>
    <col min="38" max="38" width="12" customWidth="1"/>
    <col min="39" max="39" width="11.28515625" style="1" bestFit="1" customWidth="1"/>
    <col min="40" max="40" width="11.42578125" bestFit="1" customWidth="1"/>
    <col min="41" max="41" width="14.42578125" style="1" bestFit="1" customWidth="1"/>
    <col min="42" max="42" width="14.7109375" bestFit="1" customWidth="1"/>
    <col min="43" max="43" width="14.42578125" style="1" bestFit="1" customWidth="1"/>
    <col min="44" max="44" width="14.7109375" bestFit="1" customWidth="1"/>
    <col min="45" max="45" width="19.85546875" customWidth="1"/>
    <col min="46" max="46" width="21.7109375" customWidth="1"/>
    <col min="47" max="47" width="17.7109375" customWidth="1"/>
  </cols>
  <sheetData>
    <row r="1" spans="1:47" s="38" customFormat="1" ht="12.75" customHeight="1" x14ac:dyDescent="0.2">
      <c r="A1" s="28" t="s">
        <v>0</v>
      </c>
      <c r="B1" s="29" t="s">
        <v>1</v>
      </c>
      <c r="C1" s="30" t="s">
        <v>2</v>
      </c>
      <c r="D1" s="31" t="s">
        <v>3</v>
      </c>
      <c r="E1" s="34" t="s">
        <v>4</v>
      </c>
      <c r="F1" s="33" t="s">
        <v>5</v>
      </c>
      <c r="G1" s="34" t="s">
        <v>6</v>
      </c>
      <c r="H1" s="33" t="s">
        <v>7</v>
      </c>
      <c r="I1" s="34" t="s">
        <v>8</v>
      </c>
      <c r="J1" s="33" t="s">
        <v>9</v>
      </c>
      <c r="K1" s="32" t="s">
        <v>10</v>
      </c>
      <c r="L1" s="33" t="s">
        <v>11</v>
      </c>
      <c r="M1" s="34" t="s">
        <v>12</v>
      </c>
      <c r="N1" s="33" t="s">
        <v>13</v>
      </c>
      <c r="O1" s="34" t="s">
        <v>14</v>
      </c>
      <c r="P1" s="33" t="s">
        <v>15</v>
      </c>
      <c r="Q1" s="35" t="s">
        <v>16</v>
      </c>
      <c r="R1" s="34" t="s">
        <v>17</v>
      </c>
      <c r="S1" s="36" t="s">
        <v>18</v>
      </c>
      <c r="T1" s="34" t="s">
        <v>19</v>
      </c>
      <c r="U1" s="35" t="s">
        <v>20</v>
      </c>
      <c r="V1" s="34" t="s">
        <v>21</v>
      </c>
      <c r="W1" s="34" t="s">
        <v>22</v>
      </c>
      <c r="X1" s="33" t="s">
        <v>23</v>
      </c>
      <c r="Y1" s="34" t="s">
        <v>24</v>
      </c>
      <c r="Z1" s="33" t="s">
        <v>25</v>
      </c>
      <c r="AA1" s="37" t="s">
        <v>26</v>
      </c>
      <c r="AB1" s="34" t="s">
        <v>27</v>
      </c>
      <c r="AC1" s="33" t="s">
        <v>28</v>
      </c>
      <c r="AD1" s="34" t="s">
        <v>29</v>
      </c>
      <c r="AE1" s="33" t="s">
        <v>30</v>
      </c>
      <c r="AF1" s="34" t="s">
        <v>31</v>
      </c>
      <c r="AG1" s="33" t="s">
        <v>32</v>
      </c>
      <c r="AH1" s="34" t="s">
        <v>33</v>
      </c>
      <c r="AI1" s="33" t="s">
        <v>34</v>
      </c>
      <c r="AJ1" s="37" t="s">
        <v>35</v>
      </c>
      <c r="AK1" s="34" t="s">
        <v>36</v>
      </c>
      <c r="AL1" s="33" t="s">
        <v>37</v>
      </c>
      <c r="AM1" s="34" t="s">
        <v>38</v>
      </c>
      <c r="AN1" s="33" t="s">
        <v>39</v>
      </c>
      <c r="AO1" s="34" t="s">
        <v>40</v>
      </c>
      <c r="AP1" s="33" t="s">
        <v>41</v>
      </c>
      <c r="AQ1" s="34" t="s">
        <v>42</v>
      </c>
      <c r="AR1" s="33" t="s">
        <v>43</v>
      </c>
      <c r="AS1" s="39" t="s">
        <v>44</v>
      </c>
      <c r="AT1" s="39" t="s">
        <v>45</v>
      </c>
      <c r="AU1" s="27" t="s">
        <v>46</v>
      </c>
    </row>
    <row r="2" spans="1:47" x14ac:dyDescent="0.25">
      <c r="A2" s="22">
        <v>1950</v>
      </c>
      <c r="B2" s="45">
        <v>316.01833427051372</v>
      </c>
      <c r="D2" s="45">
        <v>316.01833427051372</v>
      </c>
      <c r="E2" s="46">
        <v>57.096744382380038</v>
      </c>
      <c r="G2" s="46">
        <v>173.40284982477871</v>
      </c>
      <c r="I2" s="46">
        <v>25.517511522572629</v>
      </c>
      <c r="K2" s="46">
        <v>60.001233249822498</v>
      </c>
      <c r="R2" s="45">
        <v>322.26294158552412</v>
      </c>
      <c r="AA2" s="44"/>
      <c r="AJ2" s="45">
        <v>424.09859989173259</v>
      </c>
      <c r="AS2" s="41">
        <v>1062.3799074091589</v>
      </c>
      <c r="AT2" s="41">
        <v>1311.3680254742501</v>
      </c>
      <c r="AU2" s="40">
        <v>28137</v>
      </c>
    </row>
    <row r="3" spans="1:47" x14ac:dyDescent="0.25">
      <c r="A3" s="22">
        <v>1951</v>
      </c>
      <c r="B3" s="45">
        <v>355.80958390610061</v>
      </c>
      <c r="D3" s="45">
        <v>355.80958390610061</v>
      </c>
      <c r="E3" s="46">
        <v>65.511268032187502</v>
      </c>
      <c r="G3" s="46">
        <v>193.6422866729248</v>
      </c>
      <c r="I3" s="46">
        <v>28.665514792179678</v>
      </c>
      <c r="K3" s="46">
        <v>67.990519710784639</v>
      </c>
      <c r="R3" s="45">
        <v>304.524055952607</v>
      </c>
      <c r="AA3" s="44"/>
      <c r="AJ3" s="45">
        <v>399.03390035080628</v>
      </c>
      <c r="AS3" s="41">
        <v>1059.3675402095139</v>
      </c>
      <c r="AT3" s="41">
        <v>1291.9180313944821</v>
      </c>
      <c r="AU3" s="40">
        <v>27432</v>
      </c>
    </row>
    <row r="4" spans="1:47" x14ac:dyDescent="0.25">
      <c r="A4" s="22">
        <v>1952</v>
      </c>
      <c r="B4" s="45">
        <v>396.36767622417329</v>
      </c>
      <c r="D4" s="45">
        <v>396.36767622417329</v>
      </c>
      <c r="E4" s="46">
        <v>74.377034038850752</v>
      </c>
      <c r="G4" s="46">
        <v>213.88354771503251</v>
      </c>
      <c r="I4" s="46">
        <v>31.857538455811611</v>
      </c>
      <c r="K4" s="46">
        <v>76.249556014478401</v>
      </c>
      <c r="R4" s="45">
        <v>284.84551000863001</v>
      </c>
      <c r="AA4" s="44"/>
      <c r="AJ4" s="45">
        <v>371.46126877319421</v>
      </c>
      <c r="AS4" s="41">
        <v>1052.674455005998</v>
      </c>
      <c r="AT4" s="41">
        <v>1268.0631301701069</v>
      </c>
      <c r="AU4" s="40">
        <v>26648</v>
      </c>
    </row>
    <row r="5" spans="1:47" x14ac:dyDescent="0.25">
      <c r="A5" s="22">
        <v>1953</v>
      </c>
      <c r="B5" s="45">
        <v>416.96218406563651</v>
      </c>
      <c r="D5" s="45">
        <v>416.96218406563651</v>
      </c>
      <c r="E5" s="46">
        <v>79.757082614546817</v>
      </c>
      <c r="G5" s="46">
        <v>223.02686305221829</v>
      </c>
      <c r="I5" s="46">
        <v>33.44319173693696</v>
      </c>
      <c r="K5" s="46">
        <v>80.735037342103325</v>
      </c>
      <c r="R5" s="45">
        <v>250.85240793230321</v>
      </c>
      <c r="AA5" s="44"/>
      <c r="AJ5" s="45">
        <v>324.26336921672009</v>
      </c>
      <c r="AS5" s="41">
        <v>992.07796121465981</v>
      </c>
      <c r="AT5" s="41">
        <v>1180.643020391464</v>
      </c>
      <c r="AU5" s="40">
        <v>24552</v>
      </c>
    </row>
    <row r="6" spans="1:47" x14ac:dyDescent="0.25">
      <c r="A6" s="22">
        <v>1954</v>
      </c>
      <c r="B6" s="45">
        <v>439.82386397440712</v>
      </c>
      <c r="D6" s="45">
        <v>439.82386397440712</v>
      </c>
      <c r="E6" s="46">
        <v>85.75977149313826</v>
      </c>
      <c r="G6" s="46">
        <v>233.14456921684371</v>
      </c>
      <c r="I6" s="46">
        <v>35.211511088293662</v>
      </c>
      <c r="K6" s="46">
        <v>85.708008899188385</v>
      </c>
      <c r="R6" s="45">
        <v>220.64178777727361</v>
      </c>
      <c r="AA6" s="44"/>
      <c r="AJ6" s="45">
        <v>279.44710534913293</v>
      </c>
      <c r="AS6" s="41">
        <v>939.91274309502239</v>
      </c>
      <c r="AT6" s="41">
        <v>1105.615537427366</v>
      </c>
      <c r="AU6" s="40">
        <v>22755</v>
      </c>
    </row>
    <row r="7" spans="1:47" x14ac:dyDescent="0.25">
      <c r="A7" s="22">
        <v>1955</v>
      </c>
      <c r="B7" s="45">
        <v>571.57297300986022</v>
      </c>
      <c r="D7" s="45">
        <v>571.57297300986022</v>
      </c>
      <c r="E7" s="46">
        <v>113.62889302059141</v>
      </c>
      <c r="G7" s="46">
        <v>300.14993004996143</v>
      </c>
      <c r="I7" s="46">
        <v>45.686530397599228</v>
      </c>
      <c r="K7" s="46">
        <v>112.10761102460719</v>
      </c>
      <c r="R7" s="45">
        <v>261.93755788636668</v>
      </c>
      <c r="AA7" s="45">
        <v>16.30847470231943</v>
      </c>
      <c r="AJ7" s="45">
        <v>344.54978587985278</v>
      </c>
      <c r="AS7" s="41">
        <v>1194.3688081635389</v>
      </c>
      <c r="AT7" s="41">
        <v>1389.388414558023</v>
      </c>
      <c r="AU7" s="40">
        <v>28303</v>
      </c>
    </row>
    <row r="8" spans="1:47" x14ac:dyDescent="0.25">
      <c r="A8" s="22">
        <v>1956</v>
      </c>
      <c r="B8" s="45">
        <v>608.49924216759916</v>
      </c>
      <c r="D8" s="45">
        <v>608.49924216759916</v>
      </c>
      <c r="E8" s="46">
        <v>123.30643875553859</v>
      </c>
      <c r="G8" s="46">
        <v>316.43936113369023</v>
      </c>
      <c r="I8" s="46">
        <v>48.599497331551902</v>
      </c>
      <c r="K8" s="46">
        <v>120.1539313458005</v>
      </c>
      <c r="R8" s="45">
        <v>241.54360006448519</v>
      </c>
      <c r="AA8" s="45">
        <v>16.159920715084699</v>
      </c>
      <c r="AJ8" s="45">
        <v>312.86775176166577</v>
      </c>
      <c r="AS8" s="41">
        <v>1179.0705289840701</v>
      </c>
      <c r="AT8" s="40">
        <v>1357</v>
      </c>
      <c r="AU8" s="40">
        <v>24791</v>
      </c>
    </row>
    <row r="9" spans="1:47" x14ac:dyDescent="0.25">
      <c r="A9" s="22">
        <v>1957</v>
      </c>
      <c r="B9" s="45">
        <v>501.69888701581789</v>
      </c>
      <c r="D9" s="45">
        <v>501.69888701581789</v>
      </c>
      <c r="E9" s="46">
        <v>103.616867807476</v>
      </c>
      <c r="G9" s="46">
        <v>258.28622560630578</v>
      </c>
      <c r="I9" s="46">
        <v>40.0457956139403</v>
      </c>
      <c r="K9" s="46">
        <v>99.749997988095728</v>
      </c>
      <c r="R9" s="45">
        <v>171.02949544305281</v>
      </c>
      <c r="AA9" s="45">
        <v>12.378354177068481</v>
      </c>
      <c r="AJ9" s="45">
        <v>214.913472691175</v>
      </c>
      <c r="AS9" s="41">
        <v>900.02021938562393</v>
      </c>
      <c r="AT9" s="40">
        <v>1025</v>
      </c>
      <c r="AU9" s="40">
        <v>17764</v>
      </c>
    </row>
    <row r="10" spans="1:47" x14ac:dyDescent="0.25">
      <c r="A10" s="22">
        <v>1958</v>
      </c>
      <c r="B10" s="45">
        <v>720.56371295452311</v>
      </c>
      <c r="D10" s="45">
        <v>720.56371295452311</v>
      </c>
      <c r="E10" s="46">
        <v>151.72700198793271</v>
      </c>
      <c r="G10" s="46">
        <v>367.15884141434992</v>
      </c>
      <c r="I10" s="46">
        <v>57.491617695978178</v>
      </c>
      <c r="K10" s="46">
        <v>144.18624111902631</v>
      </c>
      <c r="R10" s="45">
        <v>206.8298972677801</v>
      </c>
      <c r="AA10" s="45">
        <v>16.389927489062579</v>
      </c>
      <c r="AJ10" s="45">
        <v>244.7893171566254</v>
      </c>
      <c r="AS10" s="41">
        <v>1188.5728648304939</v>
      </c>
      <c r="AT10" s="40">
        <v>1339</v>
      </c>
      <c r="AU10" s="40">
        <v>18001</v>
      </c>
    </row>
    <row r="11" spans="1:47" x14ac:dyDescent="0.25">
      <c r="A11" s="22">
        <v>1959</v>
      </c>
      <c r="B11" s="45">
        <v>1283.4532887904829</v>
      </c>
      <c r="D11" s="45">
        <v>1283.4532887904829</v>
      </c>
      <c r="E11" s="46">
        <v>275.60909477513178</v>
      </c>
      <c r="G11" s="46">
        <v>647.00903052201431</v>
      </c>
      <c r="I11" s="46">
        <v>102.3214261534138</v>
      </c>
      <c r="K11" s="46">
        <v>258.51372777745081</v>
      </c>
      <c r="R11" s="45">
        <v>299.25132758561881</v>
      </c>
      <c r="AA11" s="45">
        <v>26.502166334966301</v>
      </c>
      <c r="AJ11" s="45">
        <v>315.30002412928451</v>
      </c>
      <c r="AS11" s="41">
        <v>1924.5067602396009</v>
      </c>
      <c r="AT11" s="40">
        <v>2145</v>
      </c>
      <c r="AU11" s="40">
        <v>23505</v>
      </c>
    </row>
    <row r="12" spans="1:47" x14ac:dyDescent="0.25">
      <c r="A12" s="22">
        <v>1960</v>
      </c>
      <c r="B12" s="45">
        <v>866.72214218415888</v>
      </c>
      <c r="D12" s="45">
        <v>866.72214218415888</v>
      </c>
      <c r="E12" s="46">
        <v>189.85263539516509</v>
      </c>
      <c r="G12" s="46">
        <v>431.96625895650811</v>
      </c>
      <c r="I12" s="46">
        <v>69.11085035212632</v>
      </c>
      <c r="K12" s="46">
        <v>175.79239748035931</v>
      </c>
      <c r="R12" s="45">
        <v>158.8533721276178</v>
      </c>
      <c r="AA12" s="45">
        <v>16.229760279919279</v>
      </c>
      <c r="AJ12" s="45">
        <v>143.69541754068621</v>
      </c>
      <c r="AS12" s="41">
        <v>1185.5007131099701</v>
      </c>
      <c r="AT12" s="40">
        <v>1309</v>
      </c>
      <c r="AU12" s="40">
        <v>32473</v>
      </c>
    </row>
    <row r="13" spans="1:47" x14ac:dyDescent="0.25">
      <c r="A13" s="22">
        <v>1961</v>
      </c>
      <c r="B13" s="45">
        <v>718.88430459228903</v>
      </c>
      <c r="D13" s="45">
        <v>718.88430459228903</v>
      </c>
      <c r="E13" s="46">
        <v>160.63546206170301</v>
      </c>
      <c r="G13" s="46">
        <v>353.97849624745538</v>
      </c>
      <c r="I13" s="46">
        <v>57.393551494644939</v>
      </c>
      <c r="K13" s="46">
        <v>146.8767947884856</v>
      </c>
      <c r="R13" s="45">
        <v>96.417683168678423</v>
      </c>
      <c r="AA13" s="45">
        <v>14.73374115962295</v>
      </c>
      <c r="AJ13" s="45">
        <v>78.581812269972843</v>
      </c>
      <c r="AS13" s="41">
        <v>908.61752426624298</v>
      </c>
      <c r="AT13" s="40">
        <v>994</v>
      </c>
      <c r="AU13" s="40">
        <v>50074</v>
      </c>
    </row>
    <row r="14" spans="1:47" x14ac:dyDescent="0.25">
      <c r="A14" s="22">
        <v>1962</v>
      </c>
      <c r="B14" s="45">
        <v>1147.087886333466</v>
      </c>
      <c r="C14" s="45">
        <v>407.91216000914568</v>
      </c>
      <c r="D14" s="3">
        <v>1555</v>
      </c>
      <c r="E14" s="46">
        <v>261.50814254024942</v>
      </c>
      <c r="F14" s="55">
        <v>145.68451029392239</v>
      </c>
      <c r="G14" s="46">
        <v>557.68562483335165</v>
      </c>
      <c r="H14" s="55">
        <v>51.564270372109192</v>
      </c>
      <c r="I14" s="46">
        <v>91.604876666005751</v>
      </c>
      <c r="J14" s="55">
        <v>181.14813432698131</v>
      </c>
      <c r="K14" s="46">
        <v>236.28923374738849</v>
      </c>
      <c r="L14" s="55">
        <v>22.49034959462821</v>
      </c>
      <c r="N14" s="55">
        <v>7.0248946617089194</v>
      </c>
      <c r="R14" s="2">
        <v>174</v>
      </c>
      <c r="AA14">
        <v>8</v>
      </c>
      <c r="AJ14">
        <v>75</v>
      </c>
      <c r="AS14" s="40">
        <v>1812</v>
      </c>
      <c r="AT14" s="40">
        <v>1924</v>
      </c>
      <c r="AU14" s="40">
        <v>53017</v>
      </c>
    </row>
    <row r="15" spans="1:47" x14ac:dyDescent="0.25">
      <c r="A15" s="22">
        <v>1963</v>
      </c>
      <c r="B15" s="45">
        <v>1176.404999554157</v>
      </c>
      <c r="C15" s="45">
        <v>420.59495285153389</v>
      </c>
      <c r="D15" s="3">
        <v>1597</v>
      </c>
      <c r="E15" s="46">
        <v>273.59332907910022</v>
      </c>
      <c r="F15" s="55">
        <v>149.51709883679021</v>
      </c>
      <c r="G15" s="46">
        <v>564.20735821888252</v>
      </c>
      <c r="H15" s="55">
        <v>52.471349488385073</v>
      </c>
      <c r="I15" s="46">
        <v>93.940211395074101</v>
      </c>
      <c r="J15" s="55">
        <v>187.93295302577829</v>
      </c>
      <c r="K15" s="46">
        <v>244.66409209619991</v>
      </c>
      <c r="L15" s="55">
        <v>23.393787311768431</v>
      </c>
      <c r="N15" s="55">
        <v>7.2797587048778922</v>
      </c>
      <c r="R15" s="2">
        <v>207</v>
      </c>
      <c r="AA15">
        <v>34</v>
      </c>
      <c r="AJ15">
        <v>217</v>
      </c>
      <c r="AS15" s="40">
        <v>2055</v>
      </c>
      <c r="AT15" s="40">
        <v>2385</v>
      </c>
      <c r="AU15" s="40">
        <v>48358</v>
      </c>
    </row>
    <row r="16" spans="1:47" x14ac:dyDescent="0.25">
      <c r="A16" s="22">
        <v>1964</v>
      </c>
      <c r="B16" s="45">
        <v>1418.2700009346011</v>
      </c>
      <c r="C16" s="45">
        <v>509.72999906539923</v>
      </c>
      <c r="D16" s="3">
        <f>549+1379</f>
        <v>1928</v>
      </c>
      <c r="E16" s="46">
        <v>336.51501196640243</v>
      </c>
      <c r="F16" s="55">
        <v>180.34273128672891</v>
      </c>
      <c r="G16" s="46">
        <v>670.51441713082932</v>
      </c>
      <c r="H16" s="55">
        <v>62.729281662724063</v>
      </c>
      <c r="I16" s="46">
        <v>113.2908147360392</v>
      </c>
      <c r="J16" s="55">
        <v>229.18231514990541</v>
      </c>
      <c r="K16" s="46">
        <v>297.94977823520009</v>
      </c>
      <c r="L16" s="55">
        <v>28.608366492351418</v>
      </c>
      <c r="N16" s="55">
        <v>8.8672997264589135</v>
      </c>
      <c r="R16" s="2">
        <v>114</v>
      </c>
      <c r="AA16">
        <v>13</v>
      </c>
      <c r="AJ16">
        <v>175</v>
      </c>
      <c r="AS16" s="40">
        <v>2230</v>
      </c>
      <c r="AT16" s="40">
        <v>2343</v>
      </c>
      <c r="AU16" s="40">
        <v>49715</v>
      </c>
    </row>
    <row r="17" spans="1:47" x14ac:dyDescent="0.25">
      <c r="A17" s="22">
        <v>1965</v>
      </c>
      <c r="B17" s="45">
        <v>1690.462626076564</v>
      </c>
      <c r="C17" s="45">
        <v>610.28111703469267</v>
      </c>
      <c r="D17" s="45">
        <v>2300.7437431112562</v>
      </c>
      <c r="E17" s="46">
        <v>409.04840003265298</v>
      </c>
      <c r="F17" s="55">
        <v>214.86878658938869</v>
      </c>
      <c r="G17" s="46">
        <v>787.17171754890887</v>
      </c>
      <c r="H17" s="55">
        <v>74.048586527744632</v>
      </c>
      <c r="I17" s="46">
        <v>135.15898148412421</v>
      </c>
      <c r="J17" s="55">
        <v>276.12937104583779</v>
      </c>
      <c r="K17" s="46">
        <v>359.08356479566191</v>
      </c>
      <c r="L17" s="55">
        <v>34.563739284023832</v>
      </c>
      <c r="N17" s="55">
        <v>10.670641544857819</v>
      </c>
      <c r="R17" s="45">
        <v>140.16295349842619</v>
      </c>
      <c r="AA17" s="45">
        <v>49.767265401302851</v>
      </c>
      <c r="AJ17" s="45">
        <v>113.98275102147019</v>
      </c>
      <c r="AS17" s="41">
        <v>2604.6567081809039</v>
      </c>
      <c r="AT17" s="42">
        <v>2693</v>
      </c>
      <c r="AU17" s="40">
        <v>42594</v>
      </c>
    </row>
    <row r="18" spans="1:47" x14ac:dyDescent="0.25">
      <c r="A18" s="22">
        <v>1966</v>
      </c>
      <c r="B18" s="45">
        <v>1664.6635308265691</v>
      </c>
      <c r="C18" s="45">
        <v>603.33653676509857</v>
      </c>
      <c r="D18" s="3">
        <v>2268</v>
      </c>
      <c r="E18" s="46">
        <v>410.79712171413843</v>
      </c>
      <c r="F18" s="55">
        <v>211.3653216697453</v>
      </c>
      <c r="G18" s="46">
        <v>762.68335629672526</v>
      </c>
      <c r="H18" s="55">
        <v>72.142582643742628</v>
      </c>
      <c r="I18" s="46">
        <v>133.5792062219804</v>
      </c>
      <c r="J18" s="55">
        <v>274.74042914069008</v>
      </c>
      <c r="K18" s="46">
        <v>357.60383419101521</v>
      </c>
      <c r="L18" s="55">
        <v>34.484325744143263</v>
      </c>
      <c r="N18" s="55">
        <v>10.6038674525605</v>
      </c>
      <c r="R18" s="2">
        <v>122</v>
      </c>
      <c r="AA18">
        <v>16</v>
      </c>
      <c r="AJ18">
        <v>76</v>
      </c>
      <c r="AS18" s="40">
        <v>2482</v>
      </c>
      <c r="AT18" s="40">
        <v>2494</v>
      </c>
      <c r="AU18" s="40">
        <v>41124</v>
      </c>
    </row>
    <row r="19" spans="1:47" x14ac:dyDescent="0.25">
      <c r="A19" s="22">
        <v>1967</v>
      </c>
      <c r="B19" s="45">
        <v>2545.8281412124629</v>
      </c>
      <c r="C19" s="45">
        <v>926.17175531387329</v>
      </c>
      <c r="D19" s="3">
        <v>3472</v>
      </c>
      <c r="E19" s="46">
        <v>640.80303590764959</v>
      </c>
      <c r="F19" s="55">
        <v>322.74875983515199</v>
      </c>
      <c r="G19" s="46">
        <v>1146.220197847751</v>
      </c>
      <c r="H19" s="55">
        <v>109.06261397294681</v>
      </c>
      <c r="I19" s="46">
        <v>204.94857147222689</v>
      </c>
      <c r="J19" s="55">
        <v>424.58074265096627</v>
      </c>
      <c r="K19" s="46">
        <v>553.85631701693706</v>
      </c>
      <c r="L19" s="55">
        <v>53.419109208587678</v>
      </c>
      <c r="N19" s="55">
        <v>16.360546897513771</v>
      </c>
      <c r="R19" s="2">
        <v>162</v>
      </c>
      <c r="AA19">
        <v>71</v>
      </c>
      <c r="AJ19">
        <v>109</v>
      </c>
      <c r="AS19" s="40">
        <v>3814</v>
      </c>
      <c r="AT19" s="40">
        <v>4012</v>
      </c>
      <c r="AU19" s="40">
        <v>66034</v>
      </c>
    </row>
    <row r="20" spans="1:47" x14ac:dyDescent="0.25">
      <c r="A20" s="22">
        <v>1968</v>
      </c>
      <c r="B20" s="45">
        <v>4303.5100847482681</v>
      </c>
      <c r="C20" s="45">
        <v>1571.4897401630881</v>
      </c>
      <c r="D20" s="3">
        <v>5875</v>
      </c>
      <c r="E20" s="46">
        <v>1104.874859067228</v>
      </c>
      <c r="F20" s="55">
        <v>544.5915543126174</v>
      </c>
      <c r="G20" s="46">
        <v>1902.1922496021839</v>
      </c>
      <c r="H20" s="55">
        <v>182.12448305985339</v>
      </c>
      <c r="I20" s="46">
        <v>347.84813651566577</v>
      </c>
      <c r="J20" s="55">
        <v>725.41124091038364</v>
      </c>
      <c r="K20" s="46">
        <v>948.59471130859458</v>
      </c>
      <c r="L20" s="55">
        <v>91.462420871989224</v>
      </c>
      <c r="N20" s="55">
        <v>27.90003222686116</v>
      </c>
      <c r="R20" s="2">
        <v>125</v>
      </c>
      <c r="AA20">
        <v>441</v>
      </c>
      <c r="AJ20">
        <v>62</v>
      </c>
      <c r="AS20" s="40">
        <v>6503</v>
      </c>
      <c r="AT20" s="40">
        <v>6693</v>
      </c>
      <c r="AU20" s="40">
        <v>84752</v>
      </c>
    </row>
    <row r="21" spans="1:47" x14ac:dyDescent="0.25">
      <c r="A21" s="22">
        <v>1969</v>
      </c>
      <c r="B21" s="45">
        <v>2755.7671760320659</v>
      </c>
      <c r="C21" s="45">
        <v>1010.232823967934</v>
      </c>
      <c r="D21" s="3">
        <v>3766</v>
      </c>
      <c r="E21" s="46">
        <v>721.70965641623661</v>
      </c>
      <c r="F21" s="55">
        <v>348.11405975182379</v>
      </c>
      <c r="G21" s="46">
        <v>1194.048343816615</v>
      </c>
      <c r="H21" s="55">
        <v>115.16481082371141</v>
      </c>
      <c r="I21" s="46">
        <v>224.15861924483119</v>
      </c>
      <c r="J21" s="55">
        <v>469.58797995792571</v>
      </c>
      <c r="K21" s="46">
        <v>615.85055655438327</v>
      </c>
      <c r="L21" s="55">
        <v>59.337208477661477</v>
      </c>
      <c r="N21" s="55">
        <v>18.028761193400989</v>
      </c>
      <c r="R21" s="44"/>
      <c r="AJ21" s="44"/>
      <c r="AS21" s="40">
        <v>3766</v>
      </c>
      <c r="AT21" s="40">
        <v>5949</v>
      </c>
      <c r="AU21" s="40">
        <v>92991</v>
      </c>
    </row>
    <row r="22" spans="1:47" x14ac:dyDescent="0.25">
      <c r="A22" s="22">
        <v>1970</v>
      </c>
      <c r="B22" s="45">
        <v>4178.0618816614151</v>
      </c>
      <c r="C22" s="45">
        <v>1536.9381183385849</v>
      </c>
      <c r="D22" s="3">
        <v>5715</v>
      </c>
      <c r="E22" s="46">
        <v>1116.531758770243</v>
      </c>
      <c r="F22" s="55">
        <v>526.53780425251045</v>
      </c>
      <c r="G22" s="46">
        <v>1772.1796926845291</v>
      </c>
      <c r="H22" s="55">
        <v>172.2235187801318</v>
      </c>
      <c r="I22" s="46">
        <v>342.20988578248011</v>
      </c>
      <c r="J22" s="55">
        <v>719.46704231929664</v>
      </c>
      <c r="K22" s="46">
        <v>947.14045103720264</v>
      </c>
      <c r="L22" s="55">
        <v>91.12552946430425</v>
      </c>
      <c r="N22" s="55">
        <v>27.5842063457197</v>
      </c>
      <c r="R22" s="44"/>
      <c r="AA22" s="44"/>
      <c r="AJ22" s="44"/>
      <c r="AS22" s="40">
        <v>5715</v>
      </c>
      <c r="AT22" s="40">
        <v>6199</v>
      </c>
      <c r="AU22" s="40">
        <v>72804</v>
      </c>
    </row>
    <row r="23" spans="1:47" x14ac:dyDescent="0.25">
      <c r="A23" s="22">
        <v>1971</v>
      </c>
      <c r="B23" s="45">
        <v>3605.7793955802922</v>
      </c>
      <c r="C23" s="45">
        <v>1330.220604419708</v>
      </c>
      <c r="D23" s="3">
        <v>4936</v>
      </c>
      <c r="E23" s="46">
        <v>983.74075543406263</v>
      </c>
      <c r="F23" s="55">
        <v>452.99668350664751</v>
      </c>
      <c r="G23" s="46">
        <v>1495.2464414447891</v>
      </c>
      <c r="H23" s="55">
        <v>146.42618955163809</v>
      </c>
      <c r="I23" s="46">
        <v>297.54410915679392</v>
      </c>
      <c r="J23" s="55">
        <v>627.1629912627759</v>
      </c>
      <c r="K23" s="46">
        <v>829.24808954464663</v>
      </c>
      <c r="L23" s="55">
        <v>79.619976578089648</v>
      </c>
      <c r="N23" s="55">
        <v>24.014768476014801</v>
      </c>
      <c r="R23" s="44"/>
      <c r="AA23" s="44"/>
      <c r="AJ23" s="44"/>
      <c r="AS23" s="40">
        <v>4936</v>
      </c>
      <c r="AT23" s="40">
        <v>5449</v>
      </c>
      <c r="AU23" s="40">
        <v>111267</v>
      </c>
    </row>
    <row r="24" spans="1:47" x14ac:dyDescent="0.25">
      <c r="A24" s="22">
        <v>1972</v>
      </c>
      <c r="B24" s="45">
        <v>4485.07470703125</v>
      </c>
      <c r="C24" s="45">
        <v>1658.92529296875</v>
      </c>
      <c r="D24" s="3">
        <v>6144</v>
      </c>
      <c r="E24" s="46">
        <v>1248.561408613605</v>
      </c>
      <c r="F24" s="55">
        <v>561.45706019288627</v>
      </c>
      <c r="G24" s="46">
        <v>1816.189267066002</v>
      </c>
      <c r="H24" s="55">
        <v>179.25687080164059</v>
      </c>
      <c r="I24" s="46">
        <v>373.09131698686178</v>
      </c>
      <c r="J24" s="55">
        <v>787.83831728306541</v>
      </c>
      <c r="K24" s="46">
        <v>1047.2326809483709</v>
      </c>
      <c r="L24" s="55">
        <v>100.24561339991121</v>
      </c>
      <c r="N24" s="55">
        <v>30.12743747122477</v>
      </c>
      <c r="R24" s="44"/>
      <c r="AA24" s="44"/>
      <c r="AJ24" s="44"/>
      <c r="AS24" s="40">
        <v>6144</v>
      </c>
      <c r="AT24" s="40">
        <v>6559</v>
      </c>
      <c r="AU24" s="40">
        <v>128160</v>
      </c>
    </row>
    <row r="25" spans="1:47" x14ac:dyDescent="0.25">
      <c r="A25" s="22">
        <v>1973</v>
      </c>
      <c r="B25" s="45">
        <v>7102.7044348716736</v>
      </c>
      <c r="C25" s="45">
        <v>2633.295565128326</v>
      </c>
      <c r="D25" s="3">
        <v>9736</v>
      </c>
      <c r="E25" s="46">
        <v>2016.789011883287</v>
      </c>
      <c r="F25" s="55">
        <v>885.54555551485237</v>
      </c>
      <c r="G25" s="46">
        <v>2802.7824458308892</v>
      </c>
      <c r="H25" s="55">
        <v>279.10181995517041</v>
      </c>
      <c r="I25" s="46">
        <v>596.30959593513057</v>
      </c>
      <c r="J25" s="55">
        <v>1259.884568224365</v>
      </c>
      <c r="K25" s="46">
        <v>1686.823275383824</v>
      </c>
      <c r="L25" s="55">
        <v>160.65342702936221</v>
      </c>
      <c r="N25" s="55">
        <v>48.11025326331891</v>
      </c>
      <c r="R25" s="44"/>
      <c r="AJ25" s="44"/>
      <c r="AS25" s="40">
        <v>9736</v>
      </c>
      <c r="AT25" s="40">
        <v>12539</v>
      </c>
      <c r="AU25" s="40">
        <v>158652</v>
      </c>
    </row>
    <row r="26" spans="1:47" x14ac:dyDescent="0.25">
      <c r="A26" s="22">
        <v>1974</v>
      </c>
      <c r="B26" s="45">
        <v>1665.4891988895081</v>
      </c>
      <c r="C26" s="45">
        <v>618.46577507076881</v>
      </c>
      <c r="D26" s="45">
        <v>2283.9549058931161</v>
      </c>
      <c r="E26" s="46">
        <v>482.46244211258551</v>
      </c>
      <c r="F26" s="55">
        <v>206.6039477735045</v>
      </c>
      <c r="G26" s="46">
        <v>639.1466049869656</v>
      </c>
      <c r="H26" s="55">
        <v>64.242577148450849</v>
      </c>
      <c r="I26" s="46">
        <v>141.4513174801086</v>
      </c>
      <c r="J26" s="55">
        <v>298.13281025428063</v>
      </c>
      <c r="K26" s="46">
        <v>402.42880949212542</v>
      </c>
      <c r="L26" s="55">
        <v>38.121356002751703</v>
      </c>
      <c r="N26" s="55">
        <v>11.36508619574575</v>
      </c>
      <c r="R26" s="45">
        <v>46.816257309996807</v>
      </c>
      <c r="AA26" s="45">
        <v>45.581187601132093</v>
      </c>
      <c r="AJ26" s="45">
        <v>13.401287537851699</v>
      </c>
      <c r="AS26" s="43">
        <v>2389.7536661624908</v>
      </c>
      <c r="AT26" s="42">
        <v>2982</v>
      </c>
      <c r="AU26" s="40">
        <v>57930</v>
      </c>
    </row>
    <row r="27" spans="1:47" x14ac:dyDescent="0.25">
      <c r="A27" s="22">
        <v>1975</v>
      </c>
      <c r="B27" s="45">
        <v>5968.1956666707993</v>
      </c>
      <c r="C27" s="45">
        <v>2216.804577261209</v>
      </c>
      <c r="D27" s="3">
        <v>8185</v>
      </c>
      <c r="E27" s="46">
        <v>1764.3094319984709</v>
      </c>
      <c r="F27" s="55">
        <v>735.42658231065332</v>
      </c>
      <c r="G27" s="46">
        <v>2223.6473677980598</v>
      </c>
      <c r="H27" s="55">
        <v>225.4638748546657</v>
      </c>
      <c r="I27" s="46">
        <v>510.9536972403339</v>
      </c>
      <c r="J27" s="55">
        <v>1076.8675693295161</v>
      </c>
      <c r="K27" s="46">
        <v>1469.2851696339339</v>
      </c>
      <c r="L27" s="55">
        <v>138.07657688237401</v>
      </c>
      <c r="N27" s="55">
        <v>40.969965625759812</v>
      </c>
      <c r="R27" s="44"/>
      <c r="AJ27" s="44"/>
      <c r="AS27" s="40">
        <v>8185</v>
      </c>
      <c r="AT27" s="40">
        <v>9121</v>
      </c>
      <c r="AU27" s="40">
        <v>144596</v>
      </c>
    </row>
    <row r="28" spans="1:47" x14ac:dyDescent="0.25">
      <c r="A28" s="22">
        <v>1976</v>
      </c>
      <c r="B28" s="45">
        <v>2385.0038237571721</v>
      </c>
      <c r="C28" s="45">
        <v>885.99607875943184</v>
      </c>
      <c r="D28" s="3">
        <v>3271</v>
      </c>
      <c r="E28" s="46">
        <v>719.40396222938273</v>
      </c>
      <c r="F28" s="55">
        <v>291.79572733716208</v>
      </c>
      <c r="G28" s="46">
        <v>860.74862569432617</v>
      </c>
      <c r="H28" s="55">
        <v>88.143638930134372</v>
      </c>
      <c r="I28" s="46">
        <v>205.65170636826821</v>
      </c>
      <c r="J28" s="55">
        <v>433.82960045518269</v>
      </c>
      <c r="K28" s="46">
        <v>599.19951169553167</v>
      </c>
      <c r="L28" s="55">
        <v>55.759168341014359</v>
      </c>
      <c r="N28" s="55">
        <v>16.467937094753101</v>
      </c>
      <c r="R28" s="1">
        <v>22</v>
      </c>
      <c r="AA28">
        <v>26</v>
      </c>
      <c r="AD28" s="1">
        <v>2</v>
      </c>
      <c r="AJ28">
        <v>222</v>
      </c>
      <c r="AS28" s="40">
        <v>3543</v>
      </c>
      <c r="AT28" s="40">
        <v>3643</v>
      </c>
      <c r="AU28" s="40">
        <v>106404</v>
      </c>
    </row>
    <row r="29" spans="1:47" x14ac:dyDescent="0.25">
      <c r="A29" s="22">
        <v>1977</v>
      </c>
      <c r="B29" s="45">
        <v>5789.6734358072281</v>
      </c>
      <c r="C29" s="45">
        <v>2149.3268007934089</v>
      </c>
      <c r="D29" s="3">
        <v>7939</v>
      </c>
      <c r="E29" s="46">
        <v>1781.5803968263731</v>
      </c>
      <c r="F29" s="55">
        <v>702.56107246168233</v>
      </c>
      <c r="G29" s="46">
        <v>2019.147202764743</v>
      </c>
      <c r="H29" s="55">
        <v>208.96471745967321</v>
      </c>
      <c r="I29" s="46">
        <v>503.40168997001638</v>
      </c>
      <c r="J29" s="55">
        <v>1060.966983049331</v>
      </c>
      <c r="K29" s="46">
        <v>1485.5442325189531</v>
      </c>
      <c r="L29" s="55">
        <v>136.66175413436429</v>
      </c>
      <c r="N29" s="55">
        <v>40.172305715822873</v>
      </c>
      <c r="R29" s="2">
        <v>32</v>
      </c>
      <c r="AA29">
        <v>506</v>
      </c>
      <c r="AD29" s="1">
        <v>3</v>
      </c>
      <c r="AJ29">
        <v>584</v>
      </c>
      <c r="AS29" s="40">
        <v>9064</v>
      </c>
      <c r="AT29" s="40">
        <v>9192</v>
      </c>
      <c r="AU29" s="40">
        <v>127297</v>
      </c>
    </row>
    <row r="30" spans="1:47" x14ac:dyDescent="0.25">
      <c r="A30" s="22">
        <v>1978</v>
      </c>
      <c r="B30" s="3">
        <v>22588</v>
      </c>
      <c r="C30" s="3">
        <v>234</v>
      </c>
      <c r="D30" s="44"/>
      <c r="E30" s="47">
        <v>8943.6228075027466</v>
      </c>
      <c r="F30" s="55">
        <v>75.887599647045135</v>
      </c>
      <c r="G30" s="46">
        <v>7588.0673909187317</v>
      </c>
      <c r="H30" s="55">
        <v>22.207230448722839</v>
      </c>
      <c r="I30" s="47">
        <v>2030.2290104627609</v>
      </c>
      <c r="J30" s="55">
        <v>116.47672516107561</v>
      </c>
      <c r="K30" s="46">
        <v>5924.0814642906189</v>
      </c>
      <c r="L30" s="55">
        <v>15.0310252904892</v>
      </c>
      <c r="N30" s="55">
        <v>4.3974203243851662</v>
      </c>
      <c r="R30" s="44"/>
      <c r="Y30" s="1">
        <v>18</v>
      </c>
      <c r="Z30">
        <v>2</v>
      </c>
      <c r="AC30">
        <v>1</v>
      </c>
      <c r="AH30" s="1">
        <v>94</v>
      </c>
      <c r="AJ30" s="44"/>
      <c r="AS30" s="40">
        <v>24835</v>
      </c>
      <c r="AT30" s="40">
        <v>24984</v>
      </c>
      <c r="AU30" s="40">
        <v>164081</v>
      </c>
    </row>
    <row r="31" spans="1:47" x14ac:dyDescent="0.25">
      <c r="A31" s="22">
        <v>1979</v>
      </c>
      <c r="B31" s="3">
        <v>2625</v>
      </c>
      <c r="C31" s="3">
        <v>19098</v>
      </c>
      <c r="D31" s="44"/>
      <c r="E31" s="46">
        <v>838.97695317864418</v>
      </c>
      <c r="F31" s="55">
        <v>6143.7977010011673</v>
      </c>
      <c r="G31" s="46">
        <v>848.04284200072289</v>
      </c>
      <c r="H31" s="55">
        <v>1767.3345335125921</v>
      </c>
      <c r="I31" s="46">
        <v>233.09811763465399</v>
      </c>
      <c r="J31" s="55">
        <v>9586.4794989824295</v>
      </c>
      <c r="K31" s="46">
        <v>704.88212630152702</v>
      </c>
      <c r="L31" s="55">
        <v>1239.485023096204</v>
      </c>
      <c r="N31" s="55">
        <v>360.90260309726</v>
      </c>
      <c r="R31" s="1">
        <v>42</v>
      </c>
      <c r="Z31">
        <v>2</v>
      </c>
      <c r="AI31">
        <v>60</v>
      </c>
      <c r="AJ31" s="44"/>
      <c r="AS31" s="40">
        <v>21827</v>
      </c>
      <c r="AT31" s="40">
        <v>22009</v>
      </c>
      <c r="AU31" s="40">
        <v>178361</v>
      </c>
    </row>
    <row r="32" spans="1:47" x14ac:dyDescent="0.25">
      <c r="A32" s="22">
        <v>1980</v>
      </c>
      <c r="B32" s="3">
        <v>1116</v>
      </c>
      <c r="C32" s="3">
        <v>487</v>
      </c>
      <c r="D32" s="44"/>
      <c r="E32" s="47">
        <v>1440.0565505027771</v>
      </c>
      <c r="F32" s="56">
        <v>267.35795196890831</v>
      </c>
      <c r="G32" s="46">
        <v>345.23291909694672</v>
      </c>
      <c r="H32" s="55">
        <v>43.89471846818924</v>
      </c>
      <c r="I32" s="47">
        <v>137.8791092932224</v>
      </c>
      <c r="J32" s="55">
        <v>246.55209249258041</v>
      </c>
      <c r="K32" s="48">
        <v>846.83137953281403</v>
      </c>
      <c r="L32" s="55">
        <v>31.941514402627941</v>
      </c>
      <c r="N32" s="55">
        <v>9.2537181321531534</v>
      </c>
      <c r="R32" s="1">
        <v>34</v>
      </c>
      <c r="Y32" s="1">
        <v>1</v>
      </c>
      <c r="Z32">
        <v>5</v>
      </c>
      <c r="AH32" s="1">
        <v>59</v>
      </c>
      <c r="AJ32" s="44"/>
      <c r="AQ32" s="1">
        <v>50</v>
      </c>
      <c r="AR32">
        <v>1</v>
      </c>
      <c r="AS32" s="40">
        <v>3519</v>
      </c>
      <c r="AT32" s="40">
        <v>3747</v>
      </c>
      <c r="AU32" s="40">
        <v>159061</v>
      </c>
    </row>
    <row r="33" spans="1:47" x14ac:dyDescent="0.25">
      <c r="A33" s="22">
        <v>1981</v>
      </c>
      <c r="B33" s="3">
        <v>651</v>
      </c>
      <c r="C33" s="3">
        <v>464</v>
      </c>
      <c r="D33" s="44"/>
      <c r="E33" s="47">
        <v>1250.712745189667</v>
      </c>
      <c r="F33" s="56">
        <v>182.73623704910281</v>
      </c>
      <c r="G33" s="47">
        <v>553.88114738464355</v>
      </c>
      <c r="H33" s="56">
        <v>80.660383939743042</v>
      </c>
      <c r="I33" s="47">
        <v>93.684399411082268</v>
      </c>
      <c r="J33" s="56">
        <v>240.97878837585449</v>
      </c>
      <c r="K33" s="48">
        <v>471.72171771526342</v>
      </c>
      <c r="L33" s="55">
        <v>30.75472891330719</v>
      </c>
      <c r="N33" s="55">
        <v>8.8698660433292389</v>
      </c>
      <c r="R33" s="1">
        <v>35</v>
      </c>
      <c r="Y33" s="1">
        <v>0.5</v>
      </c>
      <c r="Z33">
        <v>35</v>
      </c>
      <c r="AC33">
        <v>6</v>
      </c>
      <c r="AH33" s="1">
        <v>125</v>
      </c>
      <c r="AI33">
        <v>3</v>
      </c>
      <c r="AJ33" s="44"/>
      <c r="AQ33" s="1">
        <v>53</v>
      </c>
      <c r="AR33">
        <v>19</v>
      </c>
      <c r="AS33" s="40">
        <v>3190.5</v>
      </c>
      <c r="AT33" s="40">
        <v>3308</v>
      </c>
      <c r="AU33" s="40">
        <v>160430</v>
      </c>
    </row>
    <row r="34" spans="1:47" x14ac:dyDescent="0.25">
      <c r="A34" s="22">
        <v>1982</v>
      </c>
      <c r="B34" s="3">
        <v>722</v>
      </c>
      <c r="C34" s="3">
        <v>221</v>
      </c>
      <c r="D34" s="44"/>
      <c r="E34" s="47">
        <v>1365.2987836003299</v>
      </c>
      <c r="F34" s="56">
        <v>180.23714926838869</v>
      </c>
      <c r="G34" s="47">
        <v>1139.558814227581</v>
      </c>
      <c r="H34" s="56">
        <v>33.791016794741147</v>
      </c>
      <c r="I34" s="47">
        <v>154.29858200252059</v>
      </c>
      <c r="J34" s="56">
        <v>207.9225249886513</v>
      </c>
      <c r="K34" s="48">
        <v>232.8438147902489</v>
      </c>
      <c r="L34" s="56">
        <v>82.798905789852142</v>
      </c>
      <c r="N34" s="56">
        <v>5.2504039816558361</v>
      </c>
      <c r="R34" s="1">
        <v>46</v>
      </c>
      <c r="Y34" s="1">
        <v>2</v>
      </c>
      <c r="Z34">
        <v>2</v>
      </c>
      <c r="AH34" s="1">
        <v>185</v>
      </c>
      <c r="AI34">
        <v>7</v>
      </c>
      <c r="AJ34" s="44"/>
      <c r="AQ34" s="1">
        <v>54</v>
      </c>
      <c r="AR34">
        <v>6</v>
      </c>
      <c r="AS34" s="40">
        <v>3704</v>
      </c>
      <c r="AT34" s="40">
        <v>3741</v>
      </c>
      <c r="AU34" s="40">
        <v>143493</v>
      </c>
    </row>
    <row r="35" spans="1:47" x14ac:dyDescent="0.25">
      <c r="A35" s="22">
        <v>1983</v>
      </c>
      <c r="B35" s="3">
        <v>756</v>
      </c>
      <c r="C35" s="3">
        <v>90</v>
      </c>
      <c r="D35" s="44"/>
      <c r="E35" s="47">
        <v>1403.1067878007891</v>
      </c>
      <c r="F35" s="56">
        <v>204.917340695858</v>
      </c>
      <c r="G35" s="47">
        <v>228.94015121459961</v>
      </c>
      <c r="H35" s="56">
        <v>86.411365956068039</v>
      </c>
      <c r="I35" s="47">
        <v>872.75792396068573</v>
      </c>
      <c r="J35" s="56">
        <v>142.8412131071091</v>
      </c>
      <c r="K35" s="48">
        <v>2328.1951370239258</v>
      </c>
      <c r="L35" s="56">
        <v>151.08868353068829</v>
      </c>
      <c r="N35" s="56">
        <v>5.7413998953998089</v>
      </c>
      <c r="R35" s="1">
        <v>70</v>
      </c>
      <c r="Y35" s="1">
        <v>5</v>
      </c>
      <c r="Z35">
        <v>1</v>
      </c>
      <c r="AH35" s="1">
        <v>203</v>
      </c>
      <c r="AI35">
        <v>1</v>
      </c>
      <c r="AJ35" s="44"/>
      <c r="AQ35" s="1">
        <v>21</v>
      </c>
      <c r="AR35">
        <v>2</v>
      </c>
      <c r="AS35" s="40">
        <v>5727</v>
      </c>
      <c r="AT35" s="40">
        <v>5771</v>
      </c>
      <c r="AU35" s="40">
        <v>161871</v>
      </c>
    </row>
    <row r="36" spans="1:47" x14ac:dyDescent="0.25">
      <c r="A36" s="22">
        <v>1984</v>
      </c>
      <c r="B36" s="3">
        <v>547</v>
      </c>
      <c r="C36" s="3">
        <v>95</v>
      </c>
      <c r="D36" s="44"/>
      <c r="E36" s="47">
        <v>1547.429001390934</v>
      </c>
      <c r="F36" s="56">
        <v>402.16382044553762</v>
      </c>
      <c r="G36" s="47">
        <v>1779.105071172118</v>
      </c>
      <c r="H36" s="56">
        <v>34.561684921383858</v>
      </c>
      <c r="I36" s="47">
        <v>571.80399836599827</v>
      </c>
      <c r="J36" s="56">
        <v>90.929068386554718</v>
      </c>
      <c r="K36" s="48">
        <v>2641.6619453728199</v>
      </c>
      <c r="L36" s="56">
        <v>166.4958414807916</v>
      </c>
      <c r="N36" s="56">
        <v>18.849585650488731</v>
      </c>
      <c r="Q36" s="1">
        <v>1</v>
      </c>
      <c r="R36" s="1">
        <v>60</v>
      </c>
      <c r="S36" s="2">
        <v>4</v>
      </c>
      <c r="Y36" s="1">
        <v>3</v>
      </c>
      <c r="Z36">
        <v>5</v>
      </c>
      <c r="AC36">
        <v>2</v>
      </c>
      <c r="AH36" s="1">
        <v>162</v>
      </c>
      <c r="AI36">
        <v>2</v>
      </c>
      <c r="AJ36" s="44"/>
      <c r="AR36">
        <v>6</v>
      </c>
      <c r="AS36" s="40">
        <v>7498</v>
      </c>
      <c r="AT36" s="40">
        <v>7562</v>
      </c>
      <c r="AU36" s="40">
        <v>181662</v>
      </c>
    </row>
    <row r="37" spans="1:47" x14ac:dyDescent="0.25">
      <c r="A37" s="22">
        <v>1985</v>
      </c>
      <c r="B37" s="3">
        <v>1092</v>
      </c>
      <c r="C37" s="3">
        <v>1004</v>
      </c>
      <c r="D37" s="44"/>
      <c r="E37" s="47">
        <v>1308.6095969676969</v>
      </c>
      <c r="F37" s="56">
        <v>517.80576598644257</v>
      </c>
      <c r="G37" s="47">
        <v>1403.524305403233</v>
      </c>
      <c r="H37" s="56">
        <v>94.059785515069962</v>
      </c>
      <c r="I37" s="47">
        <v>659.43836414813995</v>
      </c>
      <c r="J37" s="56">
        <v>647.06555151939392</v>
      </c>
      <c r="K37" s="48">
        <v>3001.4277172088618</v>
      </c>
      <c r="L37" s="56">
        <v>232.40234941244131</v>
      </c>
      <c r="N37" s="55">
        <v>19.66652512550354</v>
      </c>
      <c r="Q37" s="1">
        <v>20</v>
      </c>
      <c r="R37" s="1">
        <v>54</v>
      </c>
      <c r="S37" s="2">
        <v>4</v>
      </c>
      <c r="Y37" s="1">
        <v>5</v>
      </c>
      <c r="Z37">
        <v>12</v>
      </c>
      <c r="AH37" s="1">
        <v>226</v>
      </c>
      <c r="AI37">
        <v>54</v>
      </c>
      <c r="AJ37" s="44"/>
      <c r="AS37" s="40">
        <v>8259</v>
      </c>
      <c r="AT37" s="40">
        <v>8331</v>
      </c>
      <c r="AU37" s="40">
        <v>201078</v>
      </c>
    </row>
    <row r="38" spans="1:47" x14ac:dyDescent="0.25">
      <c r="A38" s="22">
        <v>1986</v>
      </c>
      <c r="B38" s="3">
        <v>1248</v>
      </c>
      <c r="C38" s="3">
        <v>101</v>
      </c>
      <c r="D38" s="44"/>
      <c r="E38" s="47">
        <v>1595.607955932617</v>
      </c>
      <c r="F38" s="56">
        <v>175.30509117245671</v>
      </c>
      <c r="G38" s="47">
        <v>3523.0859007835388</v>
      </c>
      <c r="H38" s="56">
        <v>25.458961963653561</v>
      </c>
      <c r="I38" s="47">
        <v>552.95174503326416</v>
      </c>
      <c r="J38" s="56">
        <v>74.184462904930115</v>
      </c>
      <c r="K38" s="48">
        <v>837.354416847229</v>
      </c>
      <c r="L38" s="56">
        <v>69.060565076768398</v>
      </c>
      <c r="N38" s="55">
        <v>1.99091568402946</v>
      </c>
      <c r="Q38" s="1">
        <v>21</v>
      </c>
      <c r="R38" s="1">
        <v>42</v>
      </c>
      <c r="S38" s="2">
        <v>3</v>
      </c>
      <c r="Y38" s="1">
        <v>8</v>
      </c>
      <c r="Z38">
        <v>3</v>
      </c>
      <c r="AC38">
        <v>3</v>
      </c>
      <c r="AH38" s="1">
        <v>234</v>
      </c>
      <c r="AI38">
        <v>6</v>
      </c>
      <c r="AJ38" s="44"/>
      <c r="AR38">
        <v>1</v>
      </c>
      <c r="AS38" s="40">
        <v>7176</v>
      </c>
      <c r="AT38" s="40">
        <v>7430</v>
      </c>
      <c r="AU38" s="40">
        <v>195473</v>
      </c>
    </row>
    <row r="39" spans="1:47" x14ac:dyDescent="0.25">
      <c r="A39" s="22">
        <v>1987</v>
      </c>
      <c r="B39" s="3">
        <v>1210</v>
      </c>
      <c r="C39" s="3">
        <v>44</v>
      </c>
      <c r="D39" s="44"/>
      <c r="E39" s="47">
        <v>1656.7657308578489</v>
      </c>
      <c r="F39" s="56">
        <v>138.0401357412338</v>
      </c>
      <c r="G39" s="47">
        <v>257.54777729511261</v>
      </c>
      <c r="H39" s="56">
        <v>11.119029611349109</v>
      </c>
      <c r="I39" s="47">
        <v>540.51191908121109</v>
      </c>
      <c r="J39" s="56">
        <v>32.858102083206177</v>
      </c>
      <c r="K39" s="48">
        <v>4712.1745727658272</v>
      </c>
      <c r="L39" s="56">
        <v>19.10985246300697</v>
      </c>
      <c r="N39" s="55">
        <v>0.87287870794534683</v>
      </c>
      <c r="Q39" s="1">
        <v>25</v>
      </c>
      <c r="R39" s="1">
        <v>57</v>
      </c>
      <c r="S39" s="2">
        <v>5</v>
      </c>
      <c r="Y39" s="1">
        <v>13</v>
      </c>
      <c r="Z39">
        <v>2</v>
      </c>
      <c r="AC39">
        <v>1</v>
      </c>
      <c r="AH39" s="1">
        <v>338</v>
      </c>
      <c r="AI39">
        <v>16</v>
      </c>
      <c r="AJ39" s="44"/>
      <c r="AS39" s="40">
        <v>7826</v>
      </c>
      <c r="AT39" s="40">
        <v>7890</v>
      </c>
      <c r="AU39" s="40">
        <v>240762</v>
      </c>
    </row>
    <row r="40" spans="1:47" x14ac:dyDescent="0.25">
      <c r="A40" s="22">
        <v>1988</v>
      </c>
      <c r="B40" s="3">
        <v>841</v>
      </c>
      <c r="C40" s="3">
        <v>55</v>
      </c>
      <c r="D40" s="44"/>
      <c r="E40" s="47">
        <v>1605.4281126558781</v>
      </c>
      <c r="F40" s="56">
        <v>152.08866974711421</v>
      </c>
      <c r="G40" s="47">
        <v>267.94339923560619</v>
      </c>
      <c r="H40" s="56">
        <v>8.730606772005558</v>
      </c>
      <c r="I40" s="47">
        <v>836.99765576422215</v>
      </c>
      <c r="J40" s="56">
        <v>62.152803659439087</v>
      </c>
      <c r="K40" s="48">
        <v>5033.6308072805396</v>
      </c>
      <c r="L40" s="56">
        <v>5.9295145124197006</v>
      </c>
      <c r="N40" s="55">
        <v>1.098406538367271</v>
      </c>
      <c r="Q40" s="1">
        <v>22</v>
      </c>
      <c r="R40" s="1">
        <v>64</v>
      </c>
      <c r="S40" s="2">
        <v>3</v>
      </c>
      <c r="Y40" s="1">
        <v>14</v>
      </c>
      <c r="Z40">
        <v>0.5</v>
      </c>
      <c r="AH40" s="1">
        <v>355</v>
      </c>
      <c r="AI40">
        <v>24</v>
      </c>
      <c r="AJ40" s="44"/>
      <c r="AS40" s="40">
        <v>8456.5</v>
      </c>
      <c r="AT40" s="40">
        <v>8543</v>
      </c>
      <c r="AU40" s="40">
        <v>171990</v>
      </c>
    </row>
    <row r="41" spans="1:47" x14ac:dyDescent="0.25">
      <c r="A41" s="22">
        <v>1989</v>
      </c>
      <c r="B41" s="3">
        <v>934</v>
      </c>
      <c r="C41" s="3">
        <v>191</v>
      </c>
      <c r="D41" s="44"/>
      <c r="E41" s="47">
        <v>1233.180315136909</v>
      </c>
      <c r="F41" s="56">
        <v>78.111846923828125</v>
      </c>
      <c r="G41" s="47">
        <v>193.25533926486969</v>
      </c>
      <c r="H41" s="56">
        <v>17.357284463942051</v>
      </c>
      <c r="I41" s="47">
        <v>548.10624101758003</v>
      </c>
      <c r="J41" s="56">
        <v>106.8935586214066</v>
      </c>
      <c r="K41" s="48">
        <v>5068.9572767019272</v>
      </c>
      <c r="L41" s="56">
        <v>19.798069581389431</v>
      </c>
      <c r="M41" s="47">
        <v>1.500811895122752</v>
      </c>
      <c r="N41" s="55">
        <v>3.8392400536686182</v>
      </c>
      <c r="Q41" s="1">
        <v>5</v>
      </c>
      <c r="R41" s="1">
        <v>36</v>
      </c>
      <c r="S41" s="2">
        <v>2</v>
      </c>
      <c r="Y41" s="1">
        <v>15</v>
      </c>
      <c r="Z41">
        <v>1</v>
      </c>
      <c r="AH41" s="1">
        <v>365</v>
      </c>
      <c r="AI41">
        <v>22</v>
      </c>
      <c r="AJ41" s="44"/>
      <c r="AS41" s="40">
        <v>7717</v>
      </c>
      <c r="AT41" s="40">
        <v>7783</v>
      </c>
      <c r="AU41" s="40">
        <v>153579</v>
      </c>
    </row>
    <row r="42" spans="1:47" x14ac:dyDescent="0.25">
      <c r="A42" s="22">
        <v>1990</v>
      </c>
      <c r="B42" s="3"/>
      <c r="D42" s="44"/>
      <c r="J42">
        <v>1083</v>
      </c>
      <c r="AJ42" s="44"/>
      <c r="AS42" s="41">
        <v>4290.6204993792817</v>
      </c>
      <c r="AT42" s="41">
        <v>4310.6346181829003</v>
      </c>
      <c r="AU42" s="43">
        <v>154217.0625</v>
      </c>
    </row>
    <row r="43" spans="1:47" x14ac:dyDescent="0.25">
      <c r="A43" s="22">
        <v>1991</v>
      </c>
      <c r="B43" s="3"/>
      <c r="D43" s="3"/>
      <c r="J43">
        <v>582</v>
      </c>
      <c r="AJ43" s="44"/>
      <c r="AS43" s="41">
        <v>3456.302794160295</v>
      </c>
      <c r="AT43" s="41">
        <v>3474.573218127131</v>
      </c>
      <c r="AU43" s="43">
        <v>134376.28125</v>
      </c>
    </row>
    <row r="44" spans="1:47" x14ac:dyDescent="0.25">
      <c r="A44" s="22">
        <v>1992</v>
      </c>
      <c r="B44" s="3"/>
      <c r="D44" s="3"/>
      <c r="F44">
        <v>1133</v>
      </c>
      <c r="J44">
        <v>767</v>
      </c>
      <c r="AC44">
        <v>1.044</v>
      </c>
      <c r="AJ44" s="44"/>
      <c r="AP44" s="23">
        <v>5.0999999999999997E-2</v>
      </c>
      <c r="AS44" s="41">
        <v>2707.6073370724012</v>
      </c>
      <c r="AT44" s="41">
        <v>2727.7551024883292</v>
      </c>
      <c r="AU44" s="43">
        <v>114793.140625</v>
      </c>
    </row>
    <row r="45" spans="1:47" x14ac:dyDescent="0.25">
      <c r="A45" s="22">
        <v>1993</v>
      </c>
      <c r="B45" s="3"/>
      <c r="D45" s="3"/>
      <c r="J45">
        <v>520</v>
      </c>
      <c r="AC45">
        <v>1.6519999999999999</v>
      </c>
      <c r="AJ45" s="44"/>
      <c r="AP45" s="23">
        <v>0.91700000000000004</v>
      </c>
      <c r="AS45" s="41">
        <v>2045.2564127338101</v>
      </c>
      <c r="AT45" s="41">
        <v>2064.3794546127319</v>
      </c>
      <c r="AU45" s="43">
        <v>95292.25</v>
      </c>
    </row>
    <row r="46" spans="1:47" x14ac:dyDescent="0.25">
      <c r="A46" s="22">
        <v>1994</v>
      </c>
      <c r="B46" s="3"/>
      <c r="D46" s="3"/>
      <c r="AC46">
        <v>1.046</v>
      </c>
      <c r="AJ46" s="44"/>
      <c r="AS46" s="41">
        <v>1516.13366723018</v>
      </c>
      <c r="AT46" s="41">
        <v>1532.896820711612</v>
      </c>
      <c r="AU46" s="43">
        <v>78347.359375</v>
      </c>
    </row>
    <row r="47" spans="1:47" x14ac:dyDescent="0.25">
      <c r="A47" s="22">
        <v>1995</v>
      </c>
      <c r="B47" s="3">
        <v>195</v>
      </c>
      <c r="C47" s="3">
        <v>425</v>
      </c>
      <c r="D47" s="3"/>
      <c r="E47" s="47">
        <v>785.56067049503326</v>
      </c>
      <c r="F47" s="55">
        <v>111.5010522305965</v>
      </c>
      <c r="G47" s="46">
        <v>11.56099269166589</v>
      </c>
      <c r="H47" s="55">
        <v>18.63641981035471</v>
      </c>
      <c r="I47" s="46">
        <v>18.542949892580509</v>
      </c>
      <c r="J47" s="55">
        <v>253.01697254180911</v>
      </c>
      <c r="K47" s="46">
        <v>38.303070813417428</v>
      </c>
      <c r="L47" s="55">
        <v>32.949029467999942</v>
      </c>
      <c r="M47" s="46">
        <v>11.03231901302934</v>
      </c>
      <c r="N47" s="55">
        <v>8.8965267408639193</v>
      </c>
      <c r="Y47" s="1">
        <v>68</v>
      </c>
      <c r="AC47">
        <v>8</v>
      </c>
      <c r="AH47" s="1">
        <v>13</v>
      </c>
      <c r="AJ47" s="44"/>
      <c r="AS47" s="40">
        <v>1379</v>
      </c>
      <c r="AT47" s="40">
        <v>1405</v>
      </c>
      <c r="AU47" s="40">
        <v>59948.5</v>
      </c>
    </row>
    <row r="48" spans="1:47" x14ac:dyDescent="0.25">
      <c r="A48" s="22">
        <v>1996</v>
      </c>
      <c r="B48" s="3"/>
      <c r="C48" s="3">
        <v>10</v>
      </c>
      <c r="D48" s="3"/>
      <c r="E48" s="1">
        <v>659.5</v>
      </c>
      <c r="F48" s="56">
        <v>9.5711652636528015</v>
      </c>
      <c r="G48" s="1">
        <v>94</v>
      </c>
      <c r="H48" s="56">
        <v>0.89914004504680634</v>
      </c>
      <c r="I48" s="1">
        <v>71.5</v>
      </c>
      <c r="J48" s="56">
        <v>207.03578269481659</v>
      </c>
      <c r="K48" s="1">
        <v>109.5</v>
      </c>
      <c r="L48" s="56">
        <v>1.2831738144159319</v>
      </c>
      <c r="M48" s="1">
        <v>41</v>
      </c>
      <c r="N48" s="56">
        <v>1.2107380703091619</v>
      </c>
      <c r="Y48" s="1">
        <v>0.5</v>
      </c>
      <c r="Z48">
        <v>0.5</v>
      </c>
      <c r="AC48">
        <v>0.1</v>
      </c>
      <c r="AE48">
        <v>43</v>
      </c>
      <c r="AH48" s="1">
        <v>27</v>
      </c>
      <c r="AJ48" s="44"/>
      <c r="AQ48" s="1">
        <v>2</v>
      </c>
      <c r="AR48">
        <v>46.5</v>
      </c>
      <c r="AS48" s="40">
        <v>1315.1</v>
      </c>
      <c r="AT48" s="40"/>
      <c r="AU48" s="40">
        <v>71075</v>
      </c>
    </row>
    <row r="49" spans="1:47" x14ac:dyDescent="0.25">
      <c r="A49" s="22">
        <v>1997</v>
      </c>
      <c r="B49" s="3"/>
      <c r="C49" s="3">
        <v>14.5</v>
      </c>
      <c r="D49" s="3"/>
      <c r="E49" s="1">
        <v>716.5</v>
      </c>
      <c r="F49" s="56">
        <v>18.649954855442051</v>
      </c>
      <c r="G49" s="1">
        <v>88.5</v>
      </c>
      <c r="H49" s="56">
        <v>5.021807624027133</v>
      </c>
      <c r="I49" s="1">
        <v>235</v>
      </c>
      <c r="J49" s="56">
        <v>196.8739929199219</v>
      </c>
      <c r="K49" s="1">
        <v>301</v>
      </c>
      <c r="L49" s="56">
        <v>1.646431408822536</v>
      </c>
      <c r="M49" s="1">
        <v>167.5</v>
      </c>
      <c r="N49" s="55">
        <v>0.30781297571957111</v>
      </c>
      <c r="Z49">
        <v>2.5</v>
      </c>
      <c r="AD49" s="1">
        <v>0.5</v>
      </c>
      <c r="AE49">
        <v>56</v>
      </c>
      <c r="AH49" s="1">
        <v>55.5</v>
      </c>
      <c r="AJ49" s="44">
        <v>222</v>
      </c>
      <c r="AQ49" s="1">
        <v>2</v>
      </c>
      <c r="AR49">
        <v>25.5</v>
      </c>
      <c r="AS49" s="40">
        <v>1873</v>
      </c>
      <c r="AT49" s="40"/>
      <c r="AU49" s="40">
        <v>75531.5</v>
      </c>
    </row>
    <row r="50" spans="1:47" x14ac:dyDescent="0.25">
      <c r="A50" s="22">
        <v>1998</v>
      </c>
      <c r="B50" s="3"/>
      <c r="C50" s="3">
        <v>22.5</v>
      </c>
      <c r="D50" s="3"/>
      <c r="E50" s="1">
        <v>1038</v>
      </c>
      <c r="F50" s="56">
        <v>19.537489242851731</v>
      </c>
      <c r="G50" s="1">
        <v>174.5</v>
      </c>
      <c r="H50" s="56">
        <v>3.2230557408183809</v>
      </c>
      <c r="I50" s="1">
        <v>65</v>
      </c>
      <c r="J50" s="56">
        <v>229.46407097578049</v>
      </c>
      <c r="K50" s="1">
        <v>175.5</v>
      </c>
      <c r="L50" s="56">
        <v>2.2942886985838409</v>
      </c>
      <c r="M50" s="1">
        <v>90.5</v>
      </c>
      <c r="N50" s="56">
        <v>3.4810953000560398</v>
      </c>
      <c r="Y50" s="1">
        <v>0.5</v>
      </c>
      <c r="Z50">
        <v>1</v>
      </c>
      <c r="AD50" s="1">
        <v>0.5</v>
      </c>
      <c r="AE50">
        <v>57</v>
      </c>
      <c r="AH50" s="1">
        <v>82</v>
      </c>
      <c r="AJ50" s="44">
        <v>584</v>
      </c>
      <c r="AQ50" s="1">
        <v>1</v>
      </c>
      <c r="AR50">
        <v>24</v>
      </c>
      <c r="AS50" s="40">
        <v>1967.5</v>
      </c>
      <c r="AT50" s="40"/>
      <c r="AU50" s="40">
        <v>50979.5</v>
      </c>
    </row>
    <row r="51" spans="1:47" x14ac:dyDescent="0.25">
      <c r="A51" s="22">
        <v>1999</v>
      </c>
      <c r="B51" s="3"/>
      <c r="C51" s="3">
        <v>17.5</v>
      </c>
      <c r="D51" s="3"/>
      <c r="E51" s="1">
        <v>477.5</v>
      </c>
      <c r="F51" s="56">
        <v>14.21078380197287</v>
      </c>
      <c r="G51" s="1">
        <v>98.5</v>
      </c>
      <c r="H51" s="56">
        <v>4.5009359074756503</v>
      </c>
      <c r="I51" s="1">
        <v>76</v>
      </c>
      <c r="J51" s="56">
        <v>195.50568830966949</v>
      </c>
      <c r="K51" s="1">
        <v>193</v>
      </c>
      <c r="L51" s="56">
        <v>2.9060086384415631</v>
      </c>
      <c r="M51" s="1">
        <v>99.5</v>
      </c>
      <c r="N51" s="56">
        <v>0.87658373359590769</v>
      </c>
      <c r="Z51">
        <v>1</v>
      </c>
      <c r="AE51">
        <v>99.5</v>
      </c>
      <c r="AH51" s="1">
        <v>96</v>
      </c>
      <c r="AR51">
        <v>23</v>
      </c>
      <c r="AS51" s="40">
        <v>1382</v>
      </c>
      <c r="AT51" s="40"/>
      <c r="AU51" s="40">
        <v>50774.5</v>
      </c>
    </row>
    <row r="52" spans="1:47" x14ac:dyDescent="0.25">
      <c r="A52" s="22">
        <v>2000</v>
      </c>
      <c r="B52" s="3"/>
      <c r="C52" s="3">
        <v>27</v>
      </c>
      <c r="D52" s="3"/>
      <c r="E52" s="1">
        <v>409</v>
      </c>
      <c r="F52" s="56">
        <v>17.856037139892582</v>
      </c>
      <c r="G52" s="1">
        <v>98</v>
      </c>
      <c r="H52" s="56">
        <v>2.687480429187417</v>
      </c>
      <c r="I52" s="1">
        <v>84</v>
      </c>
      <c r="J52" s="56">
        <v>132.68789631128311</v>
      </c>
      <c r="K52" s="1">
        <v>212</v>
      </c>
      <c r="L52" s="56">
        <v>6.6839471161365509</v>
      </c>
      <c r="M52" s="1">
        <v>109.5</v>
      </c>
      <c r="N52" s="56">
        <v>3.084639355540276</v>
      </c>
      <c r="Z52">
        <v>0.5</v>
      </c>
      <c r="AE52">
        <v>43</v>
      </c>
      <c r="AH52" s="1">
        <v>76</v>
      </c>
      <c r="AQ52" s="1">
        <v>25.5</v>
      </c>
      <c r="AS52" s="40">
        <v>1220.5</v>
      </c>
      <c r="AT52" s="40"/>
      <c r="AU52" s="40">
        <v>61937.5</v>
      </c>
    </row>
    <row r="53" spans="1:47" x14ac:dyDescent="0.25">
      <c r="A53" s="22">
        <v>2001</v>
      </c>
      <c r="B53" s="3"/>
      <c r="C53" s="3">
        <v>15.5</v>
      </c>
      <c r="D53" s="3"/>
      <c r="E53" s="1">
        <v>397</v>
      </c>
      <c r="F53" s="56">
        <v>4.5731211304664612</v>
      </c>
      <c r="G53" s="1">
        <v>132</v>
      </c>
      <c r="H53" s="55">
        <v>0.36550414375960832</v>
      </c>
      <c r="I53" s="1">
        <v>170.5</v>
      </c>
      <c r="J53" s="56">
        <v>172.96408140659329</v>
      </c>
      <c r="K53" s="1">
        <v>193</v>
      </c>
      <c r="L53" s="55">
        <v>1.259930893778801</v>
      </c>
      <c r="M53" s="1">
        <v>100</v>
      </c>
      <c r="N53" s="55">
        <v>0.33736265636980528</v>
      </c>
      <c r="R53" s="1">
        <v>57.5</v>
      </c>
      <c r="Z53">
        <v>1.5</v>
      </c>
      <c r="AD53" s="1">
        <v>1</v>
      </c>
      <c r="AE53">
        <v>45</v>
      </c>
      <c r="AH53" s="1">
        <v>172.5</v>
      </c>
      <c r="AQ53" s="1">
        <v>1</v>
      </c>
      <c r="AR53">
        <v>34</v>
      </c>
      <c r="AS53" s="40">
        <v>1484.5</v>
      </c>
      <c r="AT53" s="40"/>
      <c r="AU53" s="40">
        <v>64500.5</v>
      </c>
    </row>
    <row r="54" spans="1:47" x14ac:dyDescent="0.25">
      <c r="A54" s="22">
        <v>2002</v>
      </c>
      <c r="B54" s="3"/>
      <c r="C54" s="3">
        <v>18.5</v>
      </c>
      <c r="D54" s="3"/>
      <c r="E54" s="1">
        <v>407.5</v>
      </c>
      <c r="F54" s="56">
        <v>6.6885312721133232</v>
      </c>
      <c r="G54" s="1">
        <v>118.5</v>
      </c>
      <c r="H54" s="56">
        <v>2.91711562499404</v>
      </c>
      <c r="I54" s="1">
        <v>126</v>
      </c>
      <c r="J54" s="56">
        <v>185.479073792696</v>
      </c>
      <c r="K54" s="1">
        <v>215</v>
      </c>
      <c r="L54" s="56">
        <v>3.010167937725782</v>
      </c>
      <c r="M54" s="1">
        <v>113.5</v>
      </c>
      <c r="N54" s="56">
        <v>1.4051116826012731</v>
      </c>
      <c r="R54" s="1">
        <v>41.5</v>
      </c>
      <c r="Y54" s="1">
        <v>0.5</v>
      </c>
      <c r="Z54">
        <v>1.5</v>
      </c>
      <c r="AD54" s="1">
        <v>0.5</v>
      </c>
      <c r="AE54">
        <v>60</v>
      </c>
      <c r="AH54" s="1">
        <v>96.5</v>
      </c>
      <c r="AQ54" s="1">
        <v>6</v>
      </c>
      <c r="AR54">
        <v>21.5</v>
      </c>
      <c r="AS54" s="40">
        <v>1408</v>
      </c>
      <c r="AT54" s="40"/>
      <c r="AU54" s="40">
        <v>57725.5</v>
      </c>
    </row>
    <row r="55" spans="1:47" x14ac:dyDescent="0.25">
      <c r="A55" s="22">
        <v>2003</v>
      </c>
      <c r="B55" s="3"/>
      <c r="C55" s="3">
        <v>27.5</v>
      </c>
      <c r="D55" s="3"/>
      <c r="E55" s="1">
        <v>574</v>
      </c>
      <c r="F55" s="56">
        <v>15.167194321751589</v>
      </c>
      <c r="G55" s="1">
        <v>116.5</v>
      </c>
      <c r="H55" s="56">
        <v>4.1078408611938357</v>
      </c>
      <c r="I55" s="1">
        <v>128</v>
      </c>
      <c r="J55" s="56">
        <v>190.87137031555179</v>
      </c>
      <c r="K55" s="1">
        <v>216.5</v>
      </c>
      <c r="L55" s="56">
        <v>3.749376829713583</v>
      </c>
      <c r="M55" s="1">
        <v>113.5</v>
      </c>
      <c r="N55" s="56">
        <v>2.104218440130353</v>
      </c>
      <c r="R55" s="1">
        <v>58</v>
      </c>
      <c r="Y55" s="1">
        <v>0.5</v>
      </c>
      <c r="Z55">
        <v>1.5</v>
      </c>
      <c r="AD55" s="1">
        <v>0.5</v>
      </c>
      <c r="AE55">
        <v>62</v>
      </c>
      <c r="AH55" s="1">
        <v>98</v>
      </c>
      <c r="AQ55" s="1">
        <v>5.5</v>
      </c>
      <c r="AR55">
        <v>21</v>
      </c>
      <c r="AS55" s="40">
        <v>1611.5</v>
      </c>
      <c r="AT55" s="40"/>
      <c r="AU55" s="40">
        <v>53171.5</v>
      </c>
    </row>
    <row r="56" spans="1:47" x14ac:dyDescent="0.25">
      <c r="A56" s="22">
        <v>2004</v>
      </c>
      <c r="B56" s="3"/>
      <c r="C56" s="3">
        <v>22</v>
      </c>
      <c r="D56" s="3"/>
      <c r="E56" s="1">
        <v>694.5</v>
      </c>
      <c r="F56" s="56">
        <v>14.930676847696301</v>
      </c>
      <c r="G56" s="1">
        <v>124.5</v>
      </c>
      <c r="H56" s="56">
        <v>2.9841850958764549</v>
      </c>
      <c r="I56" s="1">
        <v>149.5</v>
      </c>
      <c r="J56" s="56">
        <v>216.30227327346799</v>
      </c>
      <c r="K56" s="1">
        <v>244.5</v>
      </c>
      <c r="L56" s="56">
        <v>3.298671737313271</v>
      </c>
      <c r="M56" s="1">
        <v>130.5</v>
      </c>
      <c r="N56" s="56">
        <v>2.4841926768422131</v>
      </c>
      <c r="R56" s="1">
        <v>63.5</v>
      </c>
      <c r="Y56" s="1">
        <v>0.5</v>
      </c>
      <c r="Z56">
        <v>1.5</v>
      </c>
      <c r="AD56" s="1">
        <v>0.5</v>
      </c>
      <c r="AE56">
        <v>65</v>
      </c>
      <c r="AH56" s="1">
        <v>111.5</v>
      </c>
      <c r="AQ56" s="1">
        <v>6</v>
      </c>
      <c r="AR56">
        <v>23</v>
      </c>
      <c r="AS56" s="40">
        <v>1855</v>
      </c>
      <c r="AT56" s="40"/>
      <c r="AU56" s="40">
        <v>69510.5</v>
      </c>
    </row>
    <row r="57" spans="1:47" x14ac:dyDescent="0.25">
      <c r="A57" s="22">
        <v>2005</v>
      </c>
      <c r="B57" s="3"/>
      <c r="C57" s="3">
        <v>21.5</v>
      </c>
      <c r="D57" s="3"/>
      <c r="E57" s="1">
        <v>697.5</v>
      </c>
      <c r="F57" s="56">
        <v>18.383244931697849</v>
      </c>
      <c r="G57" s="1">
        <v>127.5</v>
      </c>
      <c r="H57" s="56">
        <v>2.971051356755197</v>
      </c>
      <c r="I57" s="1">
        <v>153.5</v>
      </c>
      <c r="J57" s="56">
        <v>219.41958743333819</v>
      </c>
      <c r="K57" s="1">
        <v>245.5</v>
      </c>
      <c r="L57" s="56">
        <v>3.2532896436750889</v>
      </c>
      <c r="M57" s="1">
        <v>137.5</v>
      </c>
      <c r="N57" s="56">
        <v>2.9728261139243841</v>
      </c>
      <c r="R57" s="1">
        <v>61.5</v>
      </c>
      <c r="Y57" s="1">
        <v>0.5</v>
      </c>
      <c r="Z57">
        <v>2.5</v>
      </c>
      <c r="AE57">
        <v>67.5</v>
      </c>
      <c r="AH57" s="1">
        <v>115.5</v>
      </c>
      <c r="AQ57" s="1">
        <v>5</v>
      </c>
      <c r="AR57">
        <v>21</v>
      </c>
      <c r="AS57" s="40">
        <v>1882</v>
      </c>
      <c r="AT57" s="40"/>
      <c r="AU57" s="40">
        <v>64770</v>
      </c>
    </row>
    <row r="58" spans="1:47" x14ac:dyDescent="0.25">
      <c r="A58" s="22">
        <v>2006</v>
      </c>
      <c r="B58" s="15"/>
      <c r="C58" s="3">
        <v>18.5</v>
      </c>
      <c r="D58" s="3"/>
      <c r="E58" s="1">
        <v>784.5</v>
      </c>
      <c r="F58" s="56">
        <v>19.3200271204114</v>
      </c>
      <c r="G58" s="1">
        <v>140</v>
      </c>
      <c r="H58" s="56">
        <v>2.905987180769444</v>
      </c>
      <c r="I58" s="1">
        <v>151.5</v>
      </c>
      <c r="J58" s="56">
        <v>220.86979651451111</v>
      </c>
      <c r="K58" s="1">
        <v>277.5</v>
      </c>
      <c r="L58" s="56">
        <v>2.998880293220282</v>
      </c>
      <c r="M58" s="1">
        <v>143.5</v>
      </c>
      <c r="N58" s="56">
        <v>3.9053084775805469</v>
      </c>
      <c r="R58" s="1">
        <v>63.5</v>
      </c>
      <c r="Y58" s="1">
        <v>0.5</v>
      </c>
      <c r="Z58">
        <v>3</v>
      </c>
      <c r="AD58" s="1">
        <v>0.5</v>
      </c>
      <c r="AE58">
        <v>62.5</v>
      </c>
      <c r="AH58" s="1">
        <v>150</v>
      </c>
      <c r="AQ58" s="1">
        <v>5</v>
      </c>
      <c r="AR58">
        <v>19.5</v>
      </c>
      <c r="AS58" s="40">
        <v>2051.5</v>
      </c>
      <c r="AT58" s="40"/>
      <c r="AU58" s="40">
        <v>68040</v>
      </c>
    </row>
    <row r="59" spans="1:47" x14ac:dyDescent="0.25">
      <c r="A59" s="22">
        <v>2007</v>
      </c>
      <c r="B59" s="15">
        <v>43</v>
      </c>
      <c r="C59" s="3">
        <v>15.5</v>
      </c>
      <c r="D59" s="3"/>
      <c r="E59" s="49">
        <v>506.53362536430359</v>
      </c>
      <c r="F59" s="56">
        <v>20.276623800396919</v>
      </c>
      <c r="G59" s="49">
        <v>109.1538715064526</v>
      </c>
      <c r="H59" s="56">
        <v>3.8387698289006948</v>
      </c>
      <c r="I59" s="49">
        <v>131.3575863391161</v>
      </c>
      <c r="J59" s="56">
        <v>248.3064004778862</v>
      </c>
      <c r="K59" s="49">
        <v>466.42749638855457</v>
      </c>
      <c r="L59" s="56">
        <v>3.7413348518311982</v>
      </c>
      <c r="M59" s="49">
        <v>72.52741976082325</v>
      </c>
      <c r="N59" s="56">
        <v>5.836871069855988</v>
      </c>
      <c r="R59" s="1">
        <v>93.5</v>
      </c>
      <c r="Y59" s="1">
        <v>8.5</v>
      </c>
      <c r="Z59">
        <v>4.5</v>
      </c>
      <c r="AD59" s="1">
        <v>4.5</v>
      </c>
      <c r="AE59">
        <v>78</v>
      </c>
      <c r="AH59" s="1">
        <v>112.5</v>
      </c>
      <c r="AQ59" s="1">
        <v>49.5</v>
      </c>
      <c r="AR59">
        <v>23.5</v>
      </c>
      <c r="AS59" s="40">
        <v>1942.5</v>
      </c>
      <c r="AT59" s="40"/>
      <c r="AU59" s="40">
        <v>83574.5</v>
      </c>
    </row>
    <row r="60" spans="1:47" x14ac:dyDescent="0.25">
      <c r="A60" s="22">
        <v>2008</v>
      </c>
      <c r="B60" s="12">
        <v>18.510000000000002</v>
      </c>
      <c r="D60" s="3"/>
      <c r="E60" s="50">
        <v>427.97835039579871</v>
      </c>
      <c r="G60" s="50">
        <v>30.49468871951105</v>
      </c>
      <c r="I60" s="51">
        <v>148.0186558848917</v>
      </c>
      <c r="K60" s="50">
        <v>294.32881155207752</v>
      </c>
      <c r="M60" s="51">
        <v>40.017693378813561</v>
      </c>
      <c r="Y60" s="7">
        <v>2.5099999999999998</v>
      </c>
      <c r="AC60" s="5">
        <v>0.5</v>
      </c>
      <c r="AH60" s="7">
        <v>6.38</v>
      </c>
      <c r="AP60" s="5">
        <v>0.11700000000000001</v>
      </c>
      <c r="AS60" s="40"/>
      <c r="AT60" s="40"/>
      <c r="AU60" s="43">
        <v>54847.765625</v>
      </c>
    </row>
    <row r="61" spans="1:47" x14ac:dyDescent="0.25">
      <c r="A61" s="22">
        <v>2009</v>
      </c>
      <c r="B61" s="12">
        <v>144.58500000000001</v>
      </c>
      <c r="C61" s="13">
        <v>2.6150000000000002</v>
      </c>
      <c r="D61" s="3"/>
      <c r="E61" s="50">
        <v>24.277341968253261</v>
      </c>
      <c r="F61" s="57">
        <v>1.189109803512693</v>
      </c>
      <c r="G61" s="50">
        <v>190.99368040734541</v>
      </c>
      <c r="H61" s="57">
        <v>8.7652074922807521E-2</v>
      </c>
      <c r="I61" s="51">
        <v>150.94500787085289</v>
      </c>
      <c r="J61" s="57">
        <v>5.1689891585707661</v>
      </c>
      <c r="K61" s="50">
        <v>27.356683176547289</v>
      </c>
      <c r="L61" s="57">
        <v>0.93578682988882078</v>
      </c>
      <c r="M61" s="51">
        <v>5.4215871156342326</v>
      </c>
      <c r="N61" s="57">
        <v>0.32905916204676028</v>
      </c>
      <c r="O61" s="4">
        <v>0.14000000000000001</v>
      </c>
      <c r="P61" s="57">
        <v>0.1344027835316956</v>
      </c>
      <c r="AC61" s="5">
        <v>2.3820000000000001</v>
      </c>
      <c r="AH61" s="7">
        <v>1.1599999999999999</v>
      </c>
      <c r="AP61" s="5">
        <v>1.1839999999999999</v>
      </c>
      <c r="AS61" s="40"/>
      <c r="AT61" s="40"/>
      <c r="AU61" s="43">
        <v>53351.53125</v>
      </c>
    </row>
    <row r="62" spans="1:47" x14ac:dyDescent="0.25">
      <c r="A62" s="22">
        <v>2010</v>
      </c>
      <c r="B62" s="12">
        <v>105.324</v>
      </c>
      <c r="C62" s="13">
        <v>22.812999999999999</v>
      </c>
      <c r="D62" s="3"/>
      <c r="E62" s="50">
        <v>19.473422662377359</v>
      </c>
      <c r="F62" s="57">
        <v>4.4198520433306694</v>
      </c>
      <c r="G62" s="50">
        <v>185.3091378933195</v>
      </c>
      <c r="H62" s="57">
        <v>0.31735866459924728</v>
      </c>
      <c r="I62" s="51">
        <v>145.55921062946319</v>
      </c>
      <c r="J62" s="58">
        <v>94.559787548899635</v>
      </c>
      <c r="K62" s="50">
        <v>16.29454153960943</v>
      </c>
      <c r="L62" s="57">
        <v>6.4086661778166878</v>
      </c>
      <c r="M62" s="46">
        <v>1.7447882560417061</v>
      </c>
      <c r="N62" s="57">
        <v>2.3896519328672441</v>
      </c>
      <c r="O62" s="4">
        <v>0.13400000000000001</v>
      </c>
      <c r="P62" s="58">
        <v>21.373683143822479</v>
      </c>
      <c r="Z62" s="5">
        <v>0.111</v>
      </c>
      <c r="AB62" s="7">
        <v>4.0000000000000001E-3</v>
      </c>
      <c r="AC62" s="5"/>
      <c r="AH62" s="7">
        <v>0.78</v>
      </c>
      <c r="AP62" s="5">
        <v>7.4269999999999996</v>
      </c>
      <c r="AS62" s="40"/>
      <c r="AT62" s="40"/>
      <c r="AU62" s="43">
        <v>51806.32421875</v>
      </c>
    </row>
    <row r="63" spans="1:47" x14ac:dyDescent="0.25">
      <c r="A63" s="22">
        <v>2011</v>
      </c>
      <c r="B63" s="12">
        <v>9.2119999999999997</v>
      </c>
      <c r="C63" s="13">
        <v>12.206</v>
      </c>
      <c r="D63" s="3"/>
      <c r="E63" s="50">
        <v>23.488125550001861</v>
      </c>
      <c r="F63" s="58">
        <v>3.2976629373729232</v>
      </c>
      <c r="G63" s="50">
        <v>4.6658491150736809</v>
      </c>
      <c r="H63" s="58">
        <v>1.169406312057399</v>
      </c>
      <c r="I63" s="51">
        <v>75.293921298027044</v>
      </c>
      <c r="J63" s="58">
        <v>331.04066493988029</v>
      </c>
      <c r="K63" s="46">
        <v>1.2181897769570349</v>
      </c>
      <c r="L63" s="57">
        <v>3.4424641068726771</v>
      </c>
      <c r="M63" s="46">
        <v>8.0914028298109772E-2</v>
      </c>
      <c r="N63" s="57">
        <v>1.281627936530858</v>
      </c>
      <c r="P63" s="57">
        <v>0.63117401382327076</v>
      </c>
      <c r="S63" s="6">
        <v>0.109</v>
      </c>
      <c r="T63" s="7"/>
      <c r="U63" s="7"/>
      <c r="V63" s="7"/>
      <c r="W63" s="7"/>
      <c r="X63" s="5"/>
      <c r="Y63" s="7">
        <v>0.08</v>
      </c>
      <c r="Z63" s="5">
        <v>1.077</v>
      </c>
      <c r="AB63" s="7">
        <v>0.41</v>
      </c>
      <c r="AC63" s="8">
        <v>37.963999999999999</v>
      </c>
      <c r="AH63" s="7">
        <v>3.633</v>
      </c>
      <c r="AP63" s="5">
        <v>11.638999999999999</v>
      </c>
      <c r="AQ63" s="20">
        <v>1.4999999999999999E-2</v>
      </c>
      <c r="AS63" s="40"/>
      <c r="AT63" s="40"/>
      <c r="AU63" s="43">
        <v>50261.87890625</v>
      </c>
    </row>
    <row r="64" spans="1:47" x14ac:dyDescent="0.25">
      <c r="A64" s="22">
        <v>2012</v>
      </c>
      <c r="B64" s="12">
        <v>1.8919999999999999</v>
      </c>
      <c r="C64" s="13">
        <v>9.9169999999999998</v>
      </c>
      <c r="D64" s="3"/>
      <c r="E64" s="50">
        <v>7.334540692269802</v>
      </c>
      <c r="F64" s="58">
        <v>2.5926064958833162</v>
      </c>
      <c r="G64" s="50">
        <v>3.5786524701118472</v>
      </c>
      <c r="H64" s="58">
        <v>2.868104577149265</v>
      </c>
      <c r="I64" s="51">
        <v>177.41408406233791</v>
      </c>
      <c r="J64" s="58">
        <v>470.38163132870193</v>
      </c>
      <c r="K64" s="46">
        <v>0.2272092797756195</v>
      </c>
      <c r="L64" s="57">
        <v>2.6803757355585689</v>
      </c>
      <c r="M64" s="46">
        <v>1.3513492861762641E-2</v>
      </c>
      <c r="N64" s="59">
        <v>7.5369601516965776</v>
      </c>
      <c r="P64" s="57">
        <v>0.4943217387180775</v>
      </c>
      <c r="Z64" s="5">
        <v>0.19</v>
      </c>
      <c r="AB64" s="7">
        <v>0.155</v>
      </c>
      <c r="AC64" s="8">
        <v>46</v>
      </c>
      <c r="AH64" s="7">
        <v>2.9209999999999998</v>
      </c>
      <c r="AI64" s="5">
        <v>0.74399999999999999</v>
      </c>
      <c r="AP64" s="5">
        <v>13.746</v>
      </c>
      <c r="AS64" s="40"/>
      <c r="AT64" s="40"/>
      <c r="AU64" s="43">
        <v>48717.41015625</v>
      </c>
    </row>
    <row r="65" spans="1:47" x14ac:dyDescent="0.25">
      <c r="A65" s="22">
        <v>2013</v>
      </c>
      <c r="B65" s="12">
        <v>52.107999999999997</v>
      </c>
      <c r="C65" s="13">
        <v>20.073</v>
      </c>
      <c r="D65" s="3"/>
      <c r="E65" s="50">
        <v>130.54420109570029</v>
      </c>
      <c r="F65" s="57">
        <v>6.4930349243357766</v>
      </c>
      <c r="G65" s="50">
        <v>109.1555547950268</v>
      </c>
      <c r="H65" s="57">
        <v>0.62046303325239571</v>
      </c>
      <c r="I65" s="51">
        <v>266.21367323803901</v>
      </c>
      <c r="J65" s="58">
        <v>386.33511779850721</v>
      </c>
      <c r="K65" s="46">
        <v>5.7404032769203184</v>
      </c>
      <c r="L65" s="57">
        <v>5.128705115050078</v>
      </c>
      <c r="M65" s="46">
        <v>0.31616689063794912</v>
      </c>
      <c r="N65" s="60">
        <v>1.90672013958916</v>
      </c>
      <c r="P65" s="57">
        <v>0.95595867145992819</v>
      </c>
      <c r="Y65" s="7">
        <v>9.7000000000000003E-2</v>
      </c>
      <c r="Z65" s="5">
        <v>0.247</v>
      </c>
      <c r="AB65" s="7">
        <v>4.4950000000000001</v>
      </c>
      <c r="AC65" s="8">
        <v>36.783999999999999</v>
      </c>
      <c r="AH65" s="7">
        <v>10.71</v>
      </c>
      <c r="AI65" s="5">
        <v>0.874</v>
      </c>
      <c r="AP65" s="5">
        <v>6.9560000000000004</v>
      </c>
      <c r="AS65" s="40"/>
      <c r="AT65" s="40"/>
      <c r="AU65" s="43">
        <v>47171.171875</v>
      </c>
    </row>
    <row r="66" spans="1:47" x14ac:dyDescent="0.25">
      <c r="A66" s="22">
        <v>2014</v>
      </c>
      <c r="B66" s="12">
        <v>35.966999999999999</v>
      </c>
      <c r="C66" s="13">
        <v>22.071000000000002</v>
      </c>
      <c r="D66" s="3"/>
      <c r="E66" s="50">
        <v>99.3031892683655</v>
      </c>
      <c r="F66" s="58">
        <v>13.495238345205779</v>
      </c>
      <c r="G66" s="50">
        <v>34.997376493901022</v>
      </c>
      <c r="H66" s="57">
        <v>0.80828927863575539</v>
      </c>
      <c r="I66" s="51">
        <v>99.554313874870545</v>
      </c>
      <c r="J66" s="58">
        <v>363.62462070780992</v>
      </c>
      <c r="K66" s="50">
        <v>20.327130571953951</v>
      </c>
      <c r="L66" s="57">
        <v>5.3664972873553634</v>
      </c>
      <c r="M66" s="50">
        <v>4.7189900086387064</v>
      </c>
      <c r="N66" s="59">
        <v>2.2280635597929361</v>
      </c>
      <c r="P66" s="57">
        <v>1.0142910267524421</v>
      </c>
      <c r="Y66" s="7">
        <v>3.7999999999999999E-2</v>
      </c>
      <c r="Z66" s="5">
        <v>7.5999999999999998E-2</v>
      </c>
      <c r="AB66" s="7">
        <v>3.593</v>
      </c>
      <c r="AC66" s="8">
        <v>16.329000000000001</v>
      </c>
      <c r="AH66" s="7">
        <v>11.226000000000001</v>
      </c>
      <c r="AI66" s="5">
        <v>0.73099999999999998</v>
      </c>
      <c r="AP66" s="5">
        <v>4.4039999999999999</v>
      </c>
      <c r="AS66" s="40"/>
      <c r="AT66" s="40"/>
      <c r="AU66" s="43">
        <v>45618.0546875</v>
      </c>
    </row>
    <row r="67" spans="1:47" x14ac:dyDescent="0.25">
      <c r="A67" s="22">
        <v>2015</v>
      </c>
      <c r="B67" s="10">
        <v>1.006</v>
      </c>
      <c r="C67" s="10">
        <v>5.2220000000000004</v>
      </c>
      <c r="D67" s="3"/>
      <c r="E67" s="52">
        <v>2.728083139777183</v>
      </c>
      <c r="F67" s="61">
        <v>5.3990411332845687</v>
      </c>
      <c r="G67" s="52">
        <v>1.9744798901081091</v>
      </c>
      <c r="H67" s="61">
        <v>2.6785648298449809</v>
      </c>
      <c r="I67" s="52">
        <v>11.91378373879194</v>
      </c>
      <c r="J67" s="62">
        <v>94.030935958981516</v>
      </c>
      <c r="K67" s="52">
        <v>0.58780635508894918</v>
      </c>
      <c r="L67" s="58">
        <v>9.8851658715307718</v>
      </c>
      <c r="M67" s="53">
        <v>0.13584686592780049</v>
      </c>
      <c r="N67" s="61">
        <v>7.3084869660399852</v>
      </c>
      <c r="P67" s="61">
        <v>4.5558051819577816</v>
      </c>
      <c r="Y67" s="9">
        <v>5.0999999999999997E-2</v>
      </c>
      <c r="Z67" s="21">
        <v>1.3959999999999999</v>
      </c>
      <c r="AB67" s="9">
        <v>1.0999999999999999E-2</v>
      </c>
      <c r="AC67" s="10">
        <v>8.5180000000000007</v>
      </c>
      <c r="AE67" s="10">
        <v>79.141000000000005</v>
      </c>
      <c r="AH67" s="9">
        <v>0.46</v>
      </c>
      <c r="AI67" s="10">
        <v>1.962</v>
      </c>
      <c r="AP67" s="5">
        <v>4.6419999999999986</v>
      </c>
      <c r="AS67" s="40"/>
      <c r="AT67" s="40"/>
      <c r="AU67" s="43">
        <v>44085.43359375</v>
      </c>
    </row>
    <row r="68" spans="1:47" x14ac:dyDescent="0.25">
      <c r="A68" s="22">
        <v>2016</v>
      </c>
      <c r="B68" s="10"/>
      <c r="C68" s="10"/>
      <c r="D68" s="3"/>
      <c r="E68" s="9"/>
      <c r="F68" s="10"/>
      <c r="G68" s="9"/>
      <c r="H68" s="10"/>
      <c r="I68" s="9"/>
      <c r="J68" s="14"/>
      <c r="K68" s="9"/>
      <c r="L68" s="5"/>
      <c r="M68" s="16"/>
      <c r="N68" s="10"/>
      <c r="P68" s="10"/>
      <c r="Y68" s="9"/>
      <c r="Z68" s="21"/>
      <c r="AB68" s="9"/>
      <c r="AH68" s="9"/>
      <c r="AI68" s="10"/>
      <c r="AS68" s="40"/>
      <c r="AT68" s="40"/>
      <c r="AU68" s="43">
        <v>42552.78125</v>
      </c>
    </row>
    <row r="69" spans="1:47" x14ac:dyDescent="0.25">
      <c r="A69" s="22">
        <v>2017</v>
      </c>
      <c r="B69" s="10">
        <v>9.1690000000000005</v>
      </c>
      <c r="C69" s="10">
        <v>37.885300000000001</v>
      </c>
      <c r="D69" s="3"/>
      <c r="E69" s="52">
        <v>96.841973242080201</v>
      </c>
      <c r="F69" s="61">
        <v>175.2661425338745</v>
      </c>
      <c r="G69" s="52">
        <v>25.021552834240801</v>
      </c>
      <c r="H69" s="61">
        <v>9.0069691282160598</v>
      </c>
      <c r="I69" s="52">
        <v>11.9027603452307</v>
      </c>
      <c r="J69" s="62">
        <v>269.78034315459252</v>
      </c>
      <c r="K69" s="52">
        <v>16.337806598439808</v>
      </c>
      <c r="L69" s="58">
        <v>69.869206121666735</v>
      </c>
      <c r="M69" s="53">
        <v>1.6767967878743071</v>
      </c>
      <c r="N69" s="61">
        <v>60.074961600820913</v>
      </c>
      <c r="P69" s="61">
        <v>3.3161456966575229</v>
      </c>
      <c r="R69" s="9">
        <v>30.485109999999999</v>
      </c>
      <c r="S69" s="17">
        <v>4.2525000000000004</v>
      </c>
      <c r="T69" s="18">
        <v>0.01</v>
      </c>
      <c r="U69" s="19"/>
      <c r="V69" s="19">
        <v>8.4999999999999989E-3</v>
      </c>
      <c r="W69" s="19">
        <v>0.1089</v>
      </c>
      <c r="X69" s="18">
        <v>2.46E-2</v>
      </c>
      <c r="Y69" s="9">
        <v>0.1593</v>
      </c>
      <c r="Z69" s="21">
        <v>0.375</v>
      </c>
      <c r="AB69" s="9">
        <v>1.88015</v>
      </c>
      <c r="AC69" s="10">
        <v>24.686499999999999</v>
      </c>
      <c r="AD69" s="9">
        <v>0.01</v>
      </c>
      <c r="AE69" s="10">
        <v>48.294999999999987</v>
      </c>
      <c r="AF69" s="9">
        <v>2.9192899999999988</v>
      </c>
      <c r="AG69" s="10">
        <v>3.9430000000000001</v>
      </c>
      <c r="AH69" s="9">
        <v>13.405200000000001</v>
      </c>
      <c r="AI69" s="10">
        <v>0.94894999999999996</v>
      </c>
      <c r="AJ69" s="10"/>
      <c r="AK69" s="9">
        <v>1.29169</v>
      </c>
      <c r="AL69" s="10">
        <v>2.2719</v>
      </c>
      <c r="AM69" s="9">
        <v>0.41239000000000009</v>
      </c>
      <c r="AN69" s="10">
        <v>1.3140000000000001</v>
      </c>
      <c r="AO69" s="7">
        <v>1E-4</v>
      </c>
      <c r="AP69" s="5">
        <v>6.2666000000000004</v>
      </c>
      <c r="AS69" s="40"/>
      <c r="AT69" s="40"/>
      <c r="AU69" s="43">
        <v>41020.15625</v>
      </c>
    </row>
    <row r="70" spans="1:47" x14ac:dyDescent="0.25">
      <c r="A70" s="22">
        <v>2018</v>
      </c>
      <c r="B70" s="10">
        <v>26.372699999999998</v>
      </c>
      <c r="C70" s="10">
        <v>65.211200000000005</v>
      </c>
      <c r="D70" s="3"/>
      <c r="E70" s="52">
        <v>136.90875519253021</v>
      </c>
      <c r="F70" s="61">
        <v>187.21474615302091</v>
      </c>
      <c r="G70" s="52">
        <v>60.369792312529391</v>
      </c>
      <c r="H70" s="61">
        <v>31.005055660304421</v>
      </c>
      <c r="I70" s="52">
        <v>15.88891029165551</v>
      </c>
      <c r="J70" s="62">
        <v>276.84683372240067</v>
      </c>
      <c r="K70" s="52">
        <v>36.795896495563532</v>
      </c>
      <c r="L70" s="58">
        <v>181.07285624918941</v>
      </c>
      <c r="M70" s="53">
        <v>0.22075494631519541</v>
      </c>
      <c r="N70" s="61">
        <v>33.364367260903123</v>
      </c>
      <c r="P70" s="61">
        <v>15.41594216883481</v>
      </c>
      <c r="R70" s="9">
        <v>88.685059999999979</v>
      </c>
      <c r="S70" s="17">
        <v>7.7992499999999998</v>
      </c>
      <c r="T70" s="9"/>
      <c r="U70" s="9"/>
      <c r="V70" s="9">
        <v>8.4000000000000012E-3</v>
      </c>
      <c r="W70" s="9">
        <v>4.1599999999999998E-2</v>
      </c>
      <c r="X70" s="10"/>
      <c r="Y70" s="9">
        <v>0.34139999999999998</v>
      </c>
      <c r="Z70" s="21">
        <v>0.52500000000000002</v>
      </c>
      <c r="AB70" s="9">
        <v>1.7179500000000001</v>
      </c>
      <c r="AC70" s="10">
        <v>28.873000000000001</v>
      </c>
      <c r="AD70" s="9"/>
      <c r="AE70" s="10">
        <v>58.360999999999997</v>
      </c>
      <c r="AF70" s="9">
        <v>1.1273</v>
      </c>
      <c r="AG70" s="10">
        <v>3.9689999999999999</v>
      </c>
      <c r="AH70" s="9">
        <v>23.386679999999998</v>
      </c>
      <c r="AI70" s="10">
        <v>1.3046500000000001</v>
      </c>
      <c r="AJ70" s="10"/>
      <c r="AK70" s="9">
        <v>1.5741000000000001</v>
      </c>
      <c r="AL70" s="10">
        <v>5.1529999999999996</v>
      </c>
      <c r="AM70" s="9">
        <v>0.64219999999999999</v>
      </c>
      <c r="AN70" s="10">
        <v>0.96400000000000008</v>
      </c>
      <c r="AO70" s="7">
        <v>1.4999999999999999E-4</v>
      </c>
      <c r="AP70" s="5">
        <v>7.3150000000000004</v>
      </c>
      <c r="AS70" s="40"/>
      <c r="AT70" s="40"/>
      <c r="AU70" s="43">
        <v>39487.5234375</v>
      </c>
    </row>
    <row r="71" spans="1:47" x14ac:dyDescent="0.25">
      <c r="A71" s="22">
        <v>2019</v>
      </c>
      <c r="B71" s="10">
        <v>36.649399999999993</v>
      </c>
      <c r="C71" s="10">
        <v>143.56299999999999</v>
      </c>
      <c r="D71" s="3"/>
      <c r="E71" s="52">
        <v>143.46085222046369</v>
      </c>
      <c r="F71" s="61">
        <v>652.03919364898786</v>
      </c>
      <c r="G71" s="52">
        <v>73.166947399374834</v>
      </c>
      <c r="H71" s="61">
        <v>57.269622125772003</v>
      </c>
      <c r="I71" s="52">
        <v>11.29962185398966</v>
      </c>
      <c r="J71" s="62">
        <v>367.41990281974068</v>
      </c>
      <c r="K71" s="52">
        <v>15.29343799676821</v>
      </c>
      <c r="L71" s="58">
        <v>72.62033309909701</v>
      </c>
      <c r="M71" s="54">
        <v>0.14237020514560861</v>
      </c>
      <c r="N71" s="61">
        <v>15.10435701983795</v>
      </c>
      <c r="P71" s="61">
        <v>5.9520866069430483</v>
      </c>
      <c r="R71" s="9">
        <v>90.433019999999971</v>
      </c>
      <c r="S71" s="17">
        <v>0.44255</v>
      </c>
      <c r="T71" s="9"/>
      <c r="U71" s="9"/>
      <c r="V71" s="9">
        <v>2.52E-2</v>
      </c>
      <c r="W71" s="9">
        <v>4.0000000000000001E-3</v>
      </c>
      <c r="X71" s="10"/>
      <c r="Y71" s="9">
        <v>0.49964999999999998</v>
      </c>
      <c r="Z71" s="21">
        <v>0.48899999999999999</v>
      </c>
      <c r="AB71" s="9">
        <v>1.1697</v>
      </c>
      <c r="AC71" s="10">
        <v>17.896000000000001</v>
      </c>
      <c r="AD71" s="9">
        <v>1E-3</v>
      </c>
      <c r="AE71" s="10">
        <v>23.082999999999998</v>
      </c>
      <c r="AF71" s="9">
        <v>1.6073500000000001</v>
      </c>
      <c r="AG71" s="10">
        <v>3.5939999999999999</v>
      </c>
      <c r="AH71" s="9">
        <v>32.121770000000012</v>
      </c>
      <c r="AI71" s="10">
        <v>2.1206499999999999</v>
      </c>
      <c r="AJ71" s="10"/>
      <c r="AK71" s="9">
        <v>1.09704</v>
      </c>
      <c r="AL71" s="10">
        <v>14.8009</v>
      </c>
      <c r="AM71" s="9">
        <v>0.26848000000000011</v>
      </c>
      <c r="AN71" s="10">
        <v>0.505</v>
      </c>
      <c r="AP71" s="5">
        <v>5.069</v>
      </c>
      <c r="AS71" s="40"/>
      <c r="AT71" s="40"/>
      <c r="AU71" s="43">
        <v>37963.2578125</v>
      </c>
    </row>
    <row r="72" spans="1:47" x14ac:dyDescent="0.25">
      <c r="A72" s="22">
        <v>2020</v>
      </c>
      <c r="B72" s="10">
        <v>0.90574999999999994</v>
      </c>
      <c r="C72" s="10">
        <v>160.215</v>
      </c>
      <c r="D72" s="3"/>
      <c r="E72" s="52">
        <v>110.6196994213939</v>
      </c>
      <c r="F72" s="61">
        <v>345.33602823256263</v>
      </c>
      <c r="G72" s="52">
        <v>28.64195009266659</v>
      </c>
      <c r="H72" s="61">
        <v>15.215229022324079</v>
      </c>
      <c r="I72" s="52">
        <v>10.14567013180833</v>
      </c>
      <c r="J72" s="62">
        <v>245.88239541110389</v>
      </c>
      <c r="K72" s="52">
        <v>0.2457160415044054</v>
      </c>
      <c r="L72" s="58">
        <v>74.791912707857776</v>
      </c>
      <c r="M72" s="53">
        <v>8.1264332344668219E-2</v>
      </c>
      <c r="N72" s="61">
        <v>12.0125721860379</v>
      </c>
      <c r="P72" s="61">
        <v>4.3601612464189534</v>
      </c>
      <c r="R72" s="9">
        <v>59.924309999999998</v>
      </c>
      <c r="S72" s="17">
        <v>0.1158</v>
      </c>
      <c r="T72" s="9"/>
      <c r="U72" s="9"/>
      <c r="W72" s="9">
        <v>6.25E-2</v>
      </c>
      <c r="X72" s="10"/>
      <c r="Y72" s="9">
        <v>0.38136999999999988</v>
      </c>
      <c r="Z72" s="21">
        <v>4.0000000000000002E-4</v>
      </c>
      <c r="AB72" s="9">
        <v>0.44163000000000002</v>
      </c>
      <c r="AC72" s="10">
        <v>4.5814999999999992</v>
      </c>
      <c r="AE72" s="10">
        <v>10.7225</v>
      </c>
      <c r="AF72" s="9">
        <v>4.1466499999999984</v>
      </c>
      <c r="AG72" s="10">
        <v>2.0470000000000002</v>
      </c>
      <c r="AH72" s="9">
        <v>36.887050000000009</v>
      </c>
      <c r="AI72" s="10">
        <v>0.46034999999999998</v>
      </c>
      <c r="AJ72" s="10"/>
      <c r="AK72" s="9">
        <v>0.2994</v>
      </c>
      <c r="AL72" s="10">
        <v>1.8892</v>
      </c>
      <c r="AM72" s="9">
        <v>0.184</v>
      </c>
      <c r="AP72" s="5">
        <v>2.532</v>
      </c>
      <c r="AS72" s="40"/>
      <c r="AT72" s="40"/>
      <c r="AU72" s="43">
        <v>36436.7109375</v>
      </c>
    </row>
    <row r="73" spans="1:47" x14ac:dyDescent="0.25">
      <c r="A73" s="22">
        <v>2021</v>
      </c>
      <c r="B73" s="10">
        <v>0.12232999999999999</v>
      </c>
      <c r="C73" s="10">
        <v>120.09699999999999</v>
      </c>
      <c r="D73" s="3"/>
      <c r="E73" s="52">
        <v>107.49267926364899</v>
      </c>
      <c r="F73" s="61">
        <v>175.79924858499169</v>
      </c>
      <c r="G73" s="52">
        <v>51.141599133007539</v>
      </c>
      <c r="H73" s="61">
        <v>22.44233387509696</v>
      </c>
      <c r="I73" s="52">
        <v>5.1578795239862227</v>
      </c>
      <c r="J73" s="62">
        <v>283.64517570169568</v>
      </c>
      <c r="K73" s="52">
        <v>0.2027920798129775</v>
      </c>
      <c r="L73" s="58">
        <v>28.939709967330099</v>
      </c>
      <c r="M73" s="53">
        <v>7.0000000000000007E-2</v>
      </c>
      <c r="N73" s="61">
        <v>6.9544576676953582</v>
      </c>
      <c r="P73" s="57">
        <v>2.8423771112654359</v>
      </c>
      <c r="R73" s="9">
        <v>92.854620000000025</v>
      </c>
      <c r="S73" s="17">
        <v>2.27969</v>
      </c>
      <c r="T73" s="9"/>
      <c r="U73" s="9"/>
      <c r="V73" s="9"/>
      <c r="W73" s="9">
        <v>4.0000000000000001E-3</v>
      </c>
      <c r="X73" s="10"/>
      <c r="Y73" s="9">
        <v>0.45269999999999999</v>
      </c>
      <c r="Z73" s="21">
        <v>2E-3</v>
      </c>
      <c r="AB73" s="9">
        <v>0.22814999999999999</v>
      </c>
      <c r="AC73" s="10">
        <v>14.824999999999999</v>
      </c>
      <c r="AE73" s="10">
        <v>6.4120999999999997</v>
      </c>
      <c r="AF73" s="9">
        <v>2.7722999999999991</v>
      </c>
      <c r="AG73" s="10">
        <v>1.4990000000000001</v>
      </c>
      <c r="AH73" s="9">
        <v>24.176500000000001</v>
      </c>
      <c r="AI73" s="10">
        <v>0.21299999999999999</v>
      </c>
      <c r="AJ73" s="10"/>
      <c r="AK73" s="9">
        <v>0.44159999999999988</v>
      </c>
      <c r="AL73" s="10">
        <v>2.6686999999999999</v>
      </c>
      <c r="AM73" s="9">
        <v>7.7200000000000005E-2</v>
      </c>
      <c r="AN73" s="10">
        <v>2.5999999999999999E-2</v>
      </c>
      <c r="AP73" s="5">
        <v>8.313699999999999</v>
      </c>
      <c r="AS73" s="40"/>
      <c r="AT73" s="40"/>
      <c r="AU73" s="43">
        <v>34895.64453125</v>
      </c>
    </row>
    <row r="74" spans="1:47" x14ac:dyDescent="0.25">
      <c r="A74" s="25">
        <v>2022</v>
      </c>
      <c r="B74" s="10">
        <v>3.1826300000000001</v>
      </c>
      <c r="C74" s="10">
        <v>74.298000000000002</v>
      </c>
      <c r="D74" s="3"/>
      <c r="E74" s="52">
        <v>108.7231055446702</v>
      </c>
      <c r="F74" s="61">
        <v>98.999657768332952</v>
      </c>
      <c r="G74" s="52">
        <v>52.185022718184293</v>
      </c>
      <c r="H74" s="61">
        <v>22.955593465016779</v>
      </c>
      <c r="I74" s="52">
        <v>4.0682999999999998</v>
      </c>
      <c r="J74" s="62">
        <v>173.73295773469209</v>
      </c>
      <c r="K74" s="49">
        <v>3.1281760857924813E-2</v>
      </c>
      <c r="L74" s="57">
        <v>13.10950617210567</v>
      </c>
      <c r="M74" s="54">
        <v>0</v>
      </c>
      <c r="N74" s="63">
        <v>3.704605855006724</v>
      </c>
      <c r="P74" s="57">
        <v>1.767279835190624</v>
      </c>
      <c r="R74" s="9">
        <v>28.994499999999999</v>
      </c>
      <c r="S74" s="17">
        <v>0.39255000000000001</v>
      </c>
      <c r="T74" s="9"/>
      <c r="U74" s="9">
        <v>1.7600000000000001E-2</v>
      </c>
      <c r="V74" s="9">
        <v>3.0000000000000001E-3</v>
      </c>
      <c r="W74" s="9"/>
      <c r="X74" s="10"/>
      <c r="Y74" s="9">
        <v>6.6200000000000009E-2</v>
      </c>
      <c r="Z74" s="21">
        <v>0.1</v>
      </c>
      <c r="AB74" s="9">
        <v>0.40670000000000001</v>
      </c>
      <c r="AC74" s="10">
        <v>10.9556</v>
      </c>
      <c r="AE74" s="10">
        <v>7.2939999999999996</v>
      </c>
      <c r="AF74" s="9">
        <v>0.67891000000000012</v>
      </c>
      <c r="AG74" s="10">
        <v>0.64100000000000001</v>
      </c>
      <c r="AH74" s="9">
        <v>18.073699999999999</v>
      </c>
      <c r="AI74" s="10">
        <v>0.379</v>
      </c>
      <c r="AJ74" s="10"/>
      <c r="AK74" s="9">
        <v>0.38040000000000013</v>
      </c>
      <c r="AL74" s="10">
        <v>1.242</v>
      </c>
      <c r="AM74" s="9">
        <v>2.8049999999999999E-2</v>
      </c>
      <c r="AP74" s="5">
        <v>14.428100000000001</v>
      </c>
      <c r="AS74" s="40"/>
      <c r="AT74" s="40"/>
      <c r="AU74" s="43">
        <v>33352.203125</v>
      </c>
    </row>
    <row r="75" spans="1:47" x14ac:dyDescent="0.25">
      <c r="B75" s="3"/>
      <c r="D75" s="3"/>
    </row>
    <row r="76" spans="1:47" x14ac:dyDescent="0.25">
      <c r="B76" s="3"/>
      <c r="D76" s="3"/>
    </row>
    <row r="77" spans="1:47" x14ac:dyDescent="0.25">
      <c r="B77" s="3"/>
      <c r="D77" s="3"/>
    </row>
    <row r="78" spans="1:47" x14ac:dyDescent="0.25">
      <c r="B78" s="3"/>
      <c r="D78" s="3"/>
    </row>
    <row r="79" spans="1:47" x14ac:dyDescent="0.25">
      <c r="B79" s="3"/>
      <c r="D79" s="3"/>
    </row>
    <row r="80" spans="1:47" x14ac:dyDescent="0.25">
      <c r="B80" s="3"/>
      <c r="D80" s="3"/>
    </row>
    <row r="81" spans="2:4" x14ac:dyDescent="0.25">
      <c r="B81" s="3"/>
      <c r="D81" s="3"/>
    </row>
    <row r="82" spans="2:4" x14ac:dyDescent="0.25">
      <c r="B82" s="3"/>
      <c r="D82" s="3"/>
    </row>
    <row r="83" spans="2:4" x14ac:dyDescent="0.25">
      <c r="B83" s="3"/>
      <c r="D83" s="3"/>
    </row>
    <row r="84" spans="2:4" x14ac:dyDescent="0.25">
      <c r="B84" s="3"/>
      <c r="D84" s="3"/>
    </row>
    <row r="85" spans="2:4" x14ac:dyDescent="0.25">
      <c r="B85" s="3"/>
      <c r="D85" s="3"/>
    </row>
    <row r="86" spans="2:4" x14ac:dyDescent="0.25">
      <c r="B86" s="3"/>
      <c r="D86" s="3"/>
    </row>
    <row r="87" spans="2:4" x14ac:dyDescent="0.25">
      <c r="B87" s="3"/>
      <c r="D87" s="3"/>
    </row>
    <row r="88" spans="2:4" x14ac:dyDescent="0.25">
      <c r="B88" s="3"/>
      <c r="D88" s="3"/>
    </row>
    <row r="89" spans="2:4" x14ac:dyDescent="0.25">
      <c r="B89" s="3"/>
      <c r="D89" s="3"/>
    </row>
    <row r="90" spans="2:4" x14ac:dyDescent="0.25">
      <c r="B90" s="3"/>
      <c r="D90" s="3"/>
    </row>
    <row r="91" spans="2:4" x14ac:dyDescent="0.25">
      <c r="B91" s="3"/>
      <c r="D91" s="3"/>
    </row>
    <row r="92" spans="2:4" x14ac:dyDescent="0.25">
      <c r="B92" s="3"/>
      <c r="D92" s="3"/>
    </row>
    <row r="93" spans="2:4" x14ac:dyDescent="0.25">
      <c r="B93" s="3"/>
      <c r="D93" s="3"/>
    </row>
    <row r="94" spans="2:4" x14ac:dyDescent="0.25">
      <c r="B94" s="3"/>
      <c r="D94" s="3"/>
    </row>
    <row r="95" spans="2:4" x14ac:dyDescent="0.25">
      <c r="B95" s="3"/>
      <c r="D95" s="3"/>
    </row>
    <row r="96" spans="2:4" x14ac:dyDescent="0.25">
      <c r="B96" s="3"/>
      <c r="D96" s="3"/>
    </row>
    <row r="97" spans="2:4" x14ac:dyDescent="0.25">
      <c r="B97" s="3"/>
      <c r="D97" s="3"/>
    </row>
    <row r="98" spans="2:4" x14ac:dyDescent="0.25">
      <c r="B98" s="3"/>
      <c r="D98" s="3"/>
    </row>
    <row r="99" spans="2:4" x14ac:dyDescent="0.25">
      <c r="B99" s="3"/>
      <c r="D99" s="3"/>
    </row>
    <row r="100" spans="2:4" x14ac:dyDescent="0.25">
      <c r="B100" s="3"/>
      <c r="D100" s="3"/>
    </row>
    <row r="101" spans="2:4" x14ac:dyDescent="0.25">
      <c r="B101" s="3"/>
      <c r="D101" s="3"/>
    </row>
    <row r="102" spans="2:4" x14ac:dyDescent="0.25">
      <c r="B102" s="3"/>
      <c r="D102" s="3"/>
    </row>
    <row r="103" spans="2:4" x14ac:dyDescent="0.25">
      <c r="B103" s="3"/>
      <c r="D103" s="3"/>
    </row>
    <row r="104" spans="2:4" x14ac:dyDescent="0.25">
      <c r="B104" s="3"/>
      <c r="D104" s="3"/>
    </row>
    <row r="105" spans="2:4" x14ac:dyDescent="0.25">
      <c r="B105" s="3"/>
      <c r="D105" s="3"/>
    </row>
    <row r="106" spans="2:4" x14ac:dyDescent="0.25">
      <c r="B106" s="3"/>
      <c r="D106" s="3"/>
    </row>
    <row r="107" spans="2:4" x14ac:dyDescent="0.25">
      <c r="B107" s="3"/>
      <c r="D107" s="3"/>
    </row>
    <row r="108" spans="2:4" x14ac:dyDescent="0.25">
      <c r="B108" s="3"/>
      <c r="D108" s="3"/>
    </row>
    <row r="109" spans="2:4" x14ac:dyDescent="0.25">
      <c r="B109" s="3"/>
      <c r="D109" s="3"/>
    </row>
    <row r="110" spans="2:4" x14ac:dyDescent="0.25">
      <c r="B110" s="3"/>
      <c r="D110" s="3"/>
    </row>
    <row r="111" spans="2:4" x14ac:dyDescent="0.25">
      <c r="B111" s="3"/>
      <c r="D111" s="3"/>
    </row>
    <row r="112" spans="2:4" x14ac:dyDescent="0.25">
      <c r="B112" s="3"/>
      <c r="D112" s="3"/>
    </row>
    <row r="113" spans="2:4" x14ac:dyDescent="0.25">
      <c r="B113" s="3"/>
      <c r="D113" s="3"/>
    </row>
    <row r="114" spans="2:4" x14ac:dyDescent="0.25">
      <c r="B114" s="3"/>
      <c r="D114" s="3"/>
    </row>
    <row r="115" spans="2:4" x14ac:dyDescent="0.25">
      <c r="B115" s="3"/>
      <c r="D115" s="3"/>
    </row>
    <row r="116" spans="2:4" x14ac:dyDescent="0.25">
      <c r="B116" s="3"/>
      <c r="D116" s="3"/>
    </row>
    <row r="117" spans="2:4" x14ac:dyDescent="0.25">
      <c r="B117" s="3"/>
      <c r="D117" s="3"/>
    </row>
    <row r="118" spans="2:4" x14ac:dyDescent="0.25">
      <c r="B118" s="3"/>
      <c r="D118" s="3"/>
    </row>
    <row r="119" spans="2:4" x14ac:dyDescent="0.25">
      <c r="B119" s="3"/>
      <c r="D119" s="3"/>
    </row>
    <row r="120" spans="2:4" x14ac:dyDescent="0.25">
      <c r="B120" s="3"/>
      <c r="D120" s="3"/>
    </row>
    <row r="121" spans="2:4" x14ac:dyDescent="0.25">
      <c r="B121" s="3"/>
      <c r="D121" s="3"/>
    </row>
    <row r="122" spans="2:4" x14ac:dyDescent="0.25">
      <c r="B122" s="3"/>
      <c r="D122" s="3"/>
    </row>
    <row r="123" spans="2:4" x14ac:dyDescent="0.25">
      <c r="B123" s="3"/>
      <c r="D123" s="3"/>
    </row>
    <row r="124" spans="2:4" x14ac:dyDescent="0.25">
      <c r="B124" s="3"/>
      <c r="D124" s="3"/>
    </row>
    <row r="125" spans="2:4" x14ac:dyDescent="0.25">
      <c r="B125" s="3"/>
      <c r="D125" s="3"/>
    </row>
    <row r="126" spans="2:4" x14ac:dyDescent="0.25">
      <c r="B126" s="3"/>
      <c r="D126" s="3"/>
    </row>
    <row r="127" spans="2:4" x14ac:dyDescent="0.25">
      <c r="B127" s="3"/>
      <c r="D127" s="3"/>
    </row>
    <row r="128" spans="2:4" x14ac:dyDescent="0.25">
      <c r="B128" s="3"/>
      <c r="D128" s="3"/>
    </row>
    <row r="129" spans="2:4" x14ac:dyDescent="0.25">
      <c r="B129" s="3"/>
      <c r="D129" s="3"/>
    </row>
    <row r="130" spans="2:4" x14ac:dyDescent="0.25">
      <c r="B130" s="3"/>
      <c r="D130" s="3"/>
    </row>
    <row r="131" spans="2:4" x14ac:dyDescent="0.25">
      <c r="B131" s="3"/>
      <c r="D131" s="3"/>
    </row>
    <row r="132" spans="2:4" x14ac:dyDescent="0.25">
      <c r="B132" s="3"/>
      <c r="D132" s="3"/>
    </row>
    <row r="133" spans="2:4" x14ac:dyDescent="0.25">
      <c r="B133" s="3"/>
      <c r="D133" s="3"/>
    </row>
    <row r="134" spans="2:4" x14ac:dyDescent="0.25">
      <c r="B134" s="3"/>
      <c r="D134" s="3"/>
    </row>
    <row r="135" spans="2:4" x14ac:dyDescent="0.25">
      <c r="B135" s="3"/>
      <c r="D135" s="3"/>
    </row>
    <row r="136" spans="2:4" x14ac:dyDescent="0.25">
      <c r="B136" s="3"/>
      <c r="D136" s="3"/>
    </row>
    <row r="137" spans="2:4" x14ac:dyDescent="0.25">
      <c r="B137" s="3"/>
      <c r="D137" s="3"/>
    </row>
    <row r="138" spans="2:4" x14ac:dyDescent="0.25">
      <c r="B138" s="3"/>
      <c r="D138" s="3"/>
    </row>
    <row r="139" spans="2:4" x14ac:dyDescent="0.25">
      <c r="B139" s="3"/>
      <c r="D139" s="3"/>
    </row>
    <row r="140" spans="2:4" x14ac:dyDescent="0.25">
      <c r="B140" s="3"/>
      <c r="D140" s="3"/>
    </row>
    <row r="141" spans="2:4" x14ac:dyDescent="0.25">
      <c r="B141" s="3"/>
      <c r="D141" s="3"/>
    </row>
    <row r="142" spans="2:4" x14ac:dyDescent="0.25">
      <c r="B142" s="3"/>
      <c r="D142" s="3"/>
    </row>
    <row r="143" spans="2:4" x14ac:dyDescent="0.25">
      <c r="B143" s="3"/>
      <c r="D143" s="3"/>
    </row>
    <row r="144" spans="2:4" x14ac:dyDescent="0.25">
      <c r="B144" s="3"/>
      <c r="D144" s="3"/>
    </row>
    <row r="145" spans="2:4" x14ac:dyDescent="0.25">
      <c r="B145" s="3"/>
      <c r="D145" s="3"/>
    </row>
    <row r="146" spans="2:4" x14ac:dyDescent="0.25">
      <c r="B146" s="3"/>
      <c r="D146" s="3"/>
    </row>
    <row r="147" spans="2:4" x14ac:dyDescent="0.25">
      <c r="B147" s="3"/>
      <c r="D147" s="3"/>
    </row>
    <row r="148" spans="2:4" x14ac:dyDescent="0.25">
      <c r="B148" s="3"/>
      <c r="D148" s="3"/>
    </row>
    <row r="149" spans="2:4" x14ac:dyDescent="0.25">
      <c r="B149" s="3"/>
      <c r="D149" s="3"/>
    </row>
    <row r="150" spans="2:4" x14ac:dyDescent="0.25">
      <c r="B150" s="3"/>
      <c r="D150" s="3"/>
    </row>
    <row r="151" spans="2:4" x14ac:dyDescent="0.25">
      <c r="B151" s="3"/>
      <c r="D151" s="3"/>
    </row>
    <row r="152" spans="2:4" x14ac:dyDescent="0.25">
      <c r="B152" s="3"/>
      <c r="D152" s="3"/>
    </row>
    <row r="153" spans="2:4" x14ac:dyDescent="0.25">
      <c r="B153" s="3"/>
      <c r="D153" s="3"/>
    </row>
    <row r="154" spans="2:4" x14ac:dyDescent="0.25">
      <c r="B154" s="3"/>
      <c r="D154" s="3"/>
    </row>
    <row r="155" spans="2:4" x14ac:dyDescent="0.25">
      <c r="B155" s="3"/>
      <c r="D155" s="3"/>
    </row>
    <row r="156" spans="2:4" x14ac:dyDescent="0.25">
      <c r="B156" s="3"/>
      <c r="D156" s="3"/>
    </row>
    <row r="157" spans="2:4" x14ac:dyDescent="0.25">
      <c r="B157" s="3"/>
      <c r="D157" s="3"/>
    </row>
    <row r="158" spans="2:4" x14ac:dyDescent="0.25">
      <c r="B158" s="3"/>
      <c r="D158" s="3"/>
    </row>
    <row r="159" spans="2:4" x14ac:dyDescent="0.25">
      <c r="B159" s="3"/>
      <c r="D159" s="3"/>
    </row>
    <row r="160" spans="2:4" x14ac:dyDescent="0.25">
      <c r="B160" s="3"/>
      <c r="D160" s="3"/>
    </row>
    <row r="161" spans="2:4" x14ac:dyDescent="0.25">
      <c r="B161" s="3"/>
      <c r="D161" s="3"/>
    </row>
    <row r="162" spans="2:4" x14ac:dyDescent="0.25">
      <c r="B162" s="3"/>
      <c r="D162" s="3"/>
    </row>
    <row r="163" spans="2:4" x14ac:dyDescent="0.25">
      <c r="B163" s="3"/>
      <c r="D163" s="3"/>
    </row>
    <row r="164" spans="2:4" x14ac:dyDescent="0.25">
      <c r="B164" s="3"/>
      <c r="D164" s="3"/>
    </row>
    <row r="165" spans="2:4" x14ac:dyDescent="0.25">
      <c r="B165" s="3"/>
      <c r="D165" s="3"/>
    </row>
    <row r="166" spans="2:4" x14ac:dyDescent="0.25">
      <c r="B166" s="3"/>
      <c r="D166" s="3"/>
    </row>
    <row r="167" spans="2:4" x14ac:dyDescent="0.25">
      <c r="B167" s="3"/>
      <c r="D167" s="3"/>
    </row>
    <row r="168" spans="2:4" x14ac:dyDescent="0.25">
      <c r="B168" s="3"/>
      <c r="D168" s="3"/>
    </row>
    <row r="169" spans="2:4" x14ac:dyDescent="0.25">
      <c r="B169" s="3"/>
      <c r="D169" s="3"/>
    </row>
    <row r="170" spans="2:4" x14ac:dyDescent="0.25">
      <c r="B170" s="3"/>
      <c r="D170" s="3"/>
    </row>
    <row r="171" spans="2:4" x14ac:dyDescent="0.25">
      <c r="B171" s="3"/>
      <c r="D171" s="3"/>
    </row>
    <row r="172" spans="2:4" x14ac:dyDescent="0.25">
      <c r="B172" s="3"/>
      <c r="D172" s="3"/>
    </row>
    <row r="173" spans="2:4" x14ac:dyDescent="0.25">
      <c r="B173" s="3"/>
      <c r="D173" s="3"/>
    </row>
    <row r="174" spans="2:4" x14ac:dyDescent="0.25">
      <c r="B174" s="3"/>
      <c r="D174" s="3"/>
    </row>
    <row r="175" spans="2:4" x14ac:dyDescent="0.25">
      <c r="B175" s="3"/>
      <c r="D175" s="3"/>
    </row>
    <row r="176" spans="2:4" x14ac:dyDescent="0.25">
      <c r="B176" s="3"/>
      <c r="D176" s="3"/>
    </row>
    <row r="177" spans="2:4" x14ac:dyDescent="0.25">
      <c r="B177" s="3"/>
      <c r="D177" s="3"/>
    </row>
    <row r="178" spans="2:4" x14ac:dyDescent="0.25">
      <c r="B178" s="3"/>
      <c r="D178" s="3"/>
    </row>
    <row r="179" spans="2:4" x14ac:dyDescent="0.25">
      <c r="B179" s="3"/>
      <c r="D179" s="3"/>
    </row>
    <row r="180" spans="2:4" x14ac:dyDescent="0.25">
      <c r="B180" s="3"/>
      <c r="D180" s="3"/>
    </row>
    <row r="181" spans="2:4" x14ac:dyDescent="0.25">
      <c r="B181" s="3"/>
      <c r="D181" s="3"/>
    </row>
    <row r="182" spans="2:4" x14ac:dyDescent="0.25">
      <c r="B182" s="3"/>
      <c r="D182" s="3"/>
    </row>
    <row r="183" spans="2:4" x14ac:dyDescent="0.25">
      <c r="B183" s="3"/>
      <c r="D183" s="3"/>
    </row>
    <row r="184" spans="2:4" x14ac:dyDescent="0.25">
      <c r="B184" s="3"/>
      <c r="D184" s="3"/>
    </row>
    <row r="185" spans="2:4" x14ac:dyDescent="0.25">
      <c r="B185" s="3"/>
      <c r="D185" s="3"/>
    </row>
    <row r="186" spans="2:4" x14ac:dyDescent="0.25">
      <c r="B186" s="3"/>
      <c r="D186" s="3"/>
    </row>
    <row r="187" spans="2:4" x14ac:dyDescent="0.25">
      <c r="B187" s="3"/>
      <c r="D187" s="3"/>
    </row>
    <row r="188" spans="2:4" x14ac:dyDescent="0.25">
      <c r="B188" s="3"/>
      <c r="D188" s="3"/>
    </row>
    <row r="189" spans="2:4" x14ac:dyDescent="0.25">
      <c r="B189" s="3"/>
      <c r="D189" s="3"/>
    </row>
    <row r="190" spans="2:4" x14ac:dyDescent="0.25">
      <c r="B190" s="3"/>
      <c r="D190" s="3"/>
    </row>
    <row r="191" spans="2:4" x14ac:dyDescent="0.25">
      <c r="B191" s="3"/>
      <c r="D191" s="3"/>
    </row>
    <row r="192" spans="2:4" x14ac:dyDescent="0.25">
      <c r="B192" s="3"/>
      <c r="D192" s="3"/>
    </row>
    <row r="193" spans="2:4" x14ac:dyDescent="0.25">
      <c r="B193" s="3"/>
      <c r="D193" s="3"/>
    </row>
    <row r="194" spans="2:4" x14ac:dyDescent="0.25">
      <c r="B194" s="3"/>
      <c r="D194" s="3"/>
    </row>
    <row r="195" spans="2:4" x14ac:dyDescent="0.25">
      <c r="B195" s="3"/>
      <c r="D195" s="3"/>
    </row>
    <row r="196" spans="2:4" x14ac:dyDescent="0.25">
      <c r="B196" s="3"/>
      <c r="D196" s="3"/>
    </row>
    <row r="197" spans="2:4" x14ac:dyDescent="0.25">
      <c r="B197" s="3"/>
      <c r="D197" s="3"/>
    </row>
    <row r="198" spans="2:4" x14ac:dyDescent="0.25">
      <c r="B198" s="3"/>
      <c r="D198" s="3"/>
    </row>
    <row r="199" spans="2:4" x14ac:dyDescent="0.25">
      <c r="B199" s="3"/>
      <c r="D199" s="3"/>
    </row>
    <row r="200" spans="2:4" x14ac:dyDescent="0.25">
      <c r="B200" s="3"/>
      <c r="D200" s="3"/>
    </row>
    <row r="201" spans="2:4" x14ac:dyDescent="0.25">
      <c r="B201" s="3"/>
      <c r="D201" s="3"/>
    </row>
    <row r="202" spans="2:4" x14ac:dyDescent="0.25">
      <c r="B202" s="3"/>
      <c r="D202" s="3"/>
    </row>
    <row r="203" spans="2:4" x14ac:dyDescent="0.25">
      <c r="B203" s="3"/>
      <c r="D203" s="3"/>
    </row>
    <row r="204" spans="2:4" x14ac:dyDescent="0.25">
      <c r="B204" s="3"/>
      <c r="D204" s="3"/>
    </row>
    <row r="205" spans="2:4" x14ac:dyDescent="0.25">
      <c r="B205" s="3"/>
      <c r="D205" s="3"/>
    </row>
    <row r="206" spans="2:4" x14ac:dyDescent="0.25">
      <c r="B206" s="3"/>
      <c r="D206" s="3"/>
    </row>
    <row r="207" spans="2:4" x14ac:dyDescent="0.25">
      <c r="B207" s="3"/>
      <c r="D207" s="3"/>
    </row>
    <row r="208" spans="2:4" x14ac:dyDescent="0.25">
      <c r="B208" s="3"/>
      <c r="D208" s="3"/>
    </row>
    <row r="209" spans="2:4" x14ac:dyDescent="0.25">
      <c r="B209" s="3"/>
      <c r="D209" s="3"/>
    </row>
    <row r="210" spans="2:4" x14ac:dyDescent="0.25">
      <c r="B210" s="3"/>
      <c r="D210" s="3"/>
    </row>
    <row r="211" spans="2:4" x14ac:dyDescent="0.25">
      <c r="B211" s="3"/>
      <c r="D211" s="3"/>
    </row>
    <row r="212" spans="2:4" x14ac:dyDescent="0.25">
      <c r="B212" s="3"/>
      <c r="D212" s="3"/>
    </row>
    <row r="213" spans="2:4" x14ac:dyDescent="0.25">
      <c r="B213" s="3"/>
      <c r="D213" s="3"/>
    </row>
    <row r="214" spans="2:4" x14ac:dyDescent="0.25">
      <c r="B214" s="3"/>
      <c r="D214" s="3"/>
    </row>
    <row r="215" spans="2:4" x14ac:dyDescent="0.25">
      <c r="B215" s="3"/>
      <c r="D215" s="3"/>
    </row>
    <row r="216" spans="2:4" x14ac:dyDescent="0.25">
      <c r="B216" s="3"/>
      <c r="D216" s="3"/>
    </row>
    <row r="217" spans="2:4" x14ac:dyDescent="0.25">
      <c r="B217" s="3"/>
      <c r="D217" s="3"/>
    </row>
    <row r="218" spans="2:4" x14ac:dyDescent="0.25">
      <c r="B218" s="3"/>
      <c r="D218" s="3"/>
    </row>
    <row r="219" spans="2:4" x14ac:dyDescent="0.25">
      <c r="B219" s="3"/>
      <c r="D219" s="3"/>
    </row>
    <row r="220" spans="2:4" x14ac:dyDescent="0.25">
      <c r="B220" s="3"/>
      <c r="D220" s="3"/>
    </row>
    <row r="221" spans="2:4" x14ac:dyDescent="0.25">
      <c r="B221" s="3"/>
      <c r="D221" s="3"/>
    </row>
    <row r="222" spans="2:4" x14ac:dyDescent="0.25">
      <c r="B222" s="3"/>
      <c r="D222" s="3"/>
    </row>
    <row r="223" spans="2:4" x14ac:dyDescent="0.25">
      <c r="B223" s="3"/>
      <c r="D223" s="3"/>
    </row>
    <row r="224" spans="2:4" x14ac:dyDescent="0.25">
      <c r="B224" s="3"/>
      <c r="D224" s="3"/>
    </row>
    <row r="225" spans="2:4" x14ac:dyDescent="0.25">
      <c r="B225" s="3"/>
      <c r="D225" s="3"/>
    </row>
    <row r="226" spans="2:4" x14ac:dyDescent="0.25">
      <c r="B226" s="3"/>
      <c r="D226" s="3"/>
    </row>
    <row r="227" spans="2:4" x14ac:dyDescent="0.25">
      <c r="B227" s="3"/>
      <c r="D227" s="3"/>
    </row>
    <row r="228" spans="2:4" x14ac:dyDescent="0.25">
      <c r="B228" s="3"/>
      <c r="D228" s="3"/>
    </row>
    <row r="229" spans="2:4" x14ac:dyDescent="0.25">
      <c r="B229" s="3"/>
      <c r="D229" s="3"/>
    </row>
    <row r="230" spans="2:4" x14ac:dyDescent="0.25">
      <c r="B230" s="3"/>
      <c r="D230" s="3"/>
    </row>
    <row r="231" spans="2:4" x14ac:dyDescent="0.25">
      <c r="B231" s="3"/>
      <c r="D231" s="3"/>
    </row>
    <row r="232" spans="2:4" x14ac:dyDescent="0.25">
      <c r="B232" s="3"/>
      <c r="D232" s="3"/>
    </row>
    <row r="233" spans="2:4" x14ac:dyDescent="0.25">
      <c r="B233" s="3"/>
      <c r="D233" s="3"/>
    </row>
    <row r="234" spans="2:4" x14ac:dyDescent="0.25">
      <c r="B234" s="3"/>
      <c r="D234" s="3"/>
    </row>
    <row r="235" spans="2:4" x14ac:dyDescent="0.25">
      <c r="B235" s="3"/>
      <c r="D235" s="3"/>
    </row>
    <row r="236" spans="2:4" x14ac:dyDescent="0.25">
      <c r="B236" s="3"/>
      <c r="D236" s="3"/>
    </row>
    <row r="237" spans="2:4" x14ac:dyDescent="0.25">
      <c r="B237" s="3"/>
      <c r="D237" s="3"/>
    </row>
    <row r="238" spans="2:4" x14ac:dyDescent="0.25">
      <c r="B238" s="3"/>
      <c r="D238" s="3"/>
    </row>
    <row r="239" spans="2:4" x14ac:dyDescent="0.25">
      <c r="B239" s="3"/>
      <c r="D239" s="3"/>
    </row>
    <row r="240" spans="2:4" x14ac:dyDescent="0.25">
      <c r="B240" s="3"/>
      <c r="D240" s="3"/>
    </row>
    <row r="241" spans="2:4" x14ac:dyDescent="0.25">
      <c r="B241" s="3"/>
      <c r="D241" s="3"/>
    </row>
    <row r="242" spans="2:4" x14ac:dyDescent="0.25">
      <c r="B242" s="3"/>
      <c r="D242" s="3"/>
    </row>
    <row r="243" spans="2:4" x14ac:dyDescent="0.25">
      <c r="B243" s="3"/>
      <c r="D243" s="3"/>
    </row>
    <row r="244" spans="2:4" x14ac:dyDescent="0.25">
      <c r="B244" s="3"/>
      <c r="D244" s="3"/>
    </row>
    <row r="245" spans="2:4" x14ac:dyDescent="0.25">
      <c r="B245" s="3"/>
      <c r="D245" s="3"/>
    </row>
    <row r="246" spans="2:4" x14ac:dyDescent="0.25">
      <c r="B246" s="3"/>
      <c r="D246" s="3"/>
    </row>
    <row r="247" spans="2:4" x14ac:dyDescent="0.25">
      <c r="B247" s="3"/>
      <c r="D247" s="3"/>
    </row>
    <row r="248" spans="2:4" x14ac:dyDescent="0.25">
      <c r="B248" s="3"/>
      <c r="D248" s="3"/>
    </row>
    <row r="249" spans="2:4" x14ac:dyDescent="0.25">
      <c r="B249" s="3"/>
      <c r="D249" s="3"/>
    </row>
    <row r="250" spans="2:4" x14ac:dyDescent="0.25">
      <c r="B250" s="3"/>
      <c r="D250" s="3"/>
    </row>
    <row r="251" spans="2:4" x14ac:dyDescent="0.25">
      <c r="B251" s="3"/>
      <c r="D251" s="3"/>
    </row>
    <row r="252" spans="2:4" x14ac:dyDescent="0.25">
      <c r="B252" s="3"/>
      <c r="D252" s="3"/>
    </row>
    <row r="253" spans="2:4" x14ac:dyDescent="0.25">
      <c r="B253" s="3"/>
      <c r="D253" s="3"/>
    </row>
    <row r="254" spans="2:4" x14ac:dyDescent="0.25">
      <c r="B254" s="3"/>
      <c r="D254" s="3"/>
    </row>
    <row r="255" spans="2:4" x14ac:dyDescent="0.25">
      <c r="B255" s="3"/>
      <c r="D255" s="3"/>
    </row>
    <row r="256" spans="2:4" x14ac:dyDescent="0.25">
      <c r="B256" s="3"/>
      <c r="D256" s="3"/>
    </row>
    <row r="257" spans="2:4" x14ac:dyDescent="0.25">
      <c r="B257" s="3"/>
      <c r="D257" s="3"/>
    </row>
    <row r="258" spans="2:4" x14ac:dyDescent="0.25">
      <c r="B258" s="3"/>
      <c r="D258" s="3"/>
    </row>
    <row r="259" spans="2:4" x14ac:dyDescent="0.25">
      <c r="B259" s="3"/>
      <c r="D259" s="3"/>
    </row>
    <row r="260" spans="2:4" x14ac:dyDescent="0.25">
      <c r="B260" s="3"/>
      <c r="D260" s="3"/>
    </row>
    <row r="261" spans="2:4" x14ac:dyDescent="0.25">
      <c r="B261" s="3"/>
      <c r="D261" s="3"/>
    </row>
    <row r="262" spans="2:4" x14ac:dyDescent="0.25">
      <c r="B262" s="3"/>
      <c r="D262" s="3"/>
    </row>
    <row r="263" spans="2:4" x14ac:dyDescent="0.25">
      <c r="B263" s="3"/>
      <c r="D263" s="3"/>
    </row>
    <row r="264" spans="2:4" x14ac:dyDescent="0.25">
      <c r="B264" s="3"/>
      <c r="D264" s="3"/>
    </row>
    <row r="265" spans="2:4" x14ac:dyDescent="0.25">
      <c r="B265" s="3"/>
      <c r="D265" s="3"/>
    </row>
    <row r="266" spans="2:4" x14ac:dyDescent="0.25">
      <c r="B266" s="3"/>
      <c r="D266" s="3"/>
    </row>
    <row r="267" spans="2:4" x14ac:dyDescent="0.25">
      <c r="B267" s="3"/>
      <c r="D267" s="3"/>
    </row>
    <row r="268" spans="2:4" x14ac:dyDescent="0.25">
      <c r="B268" s="3"/>
      <c r="D268" s="3"/>
    </row>
    <row r="269" spans="2:4" x14ac:dyDescent="0.25">
      <c r="B269" s="3"/>
      <c r="D269" s="3"/>
    </row>
    <row r="270" spans="2:4" x14ac:dyDescent="0.25">
      <c r="B270" s="3"/>
      <c r="D270" s="3"/>
    </row>
    <row r="271" spans="2:4" x14ac:dyDescent="0.25">
      <c r="B271" s="3"/>
      <c r="D271" s="3"/>
    </row>
    <row r="272" spans="2:4" x14ac:dyDescent="0.25">
      <c r="B272" s="3"/>
      <c r="D272" s="3"/>
    </row>
    <row r="273" spans="2:4" x14ac:dyDescent="0.25">
      <c r="B273" s="3"/>
      <c r="D273" s="3"/>
    </row>
    <row r="274" spans="2:4" x14ac:dyDescent="0.25">
      <c r="B274" s="3"/>
      <c r="D274" s="3"/>
    </row>
    <row r="275" spans="2:4" x14ac:dyDescent="0.25">
      <c r="B275" s="3"/>
      <c r="D275" s="3"/>
    </row>
    <row r="276" spans="2:4" x14ac:dyDescent="0.25">
      <c r="B276" s="3"/>
      <c r="D276" s="3"/>
    </row>
    <row r="277" spans="2:4" x14ac:dyDescent="0.25">
      <c r="B277" s="3"/>
      <c r="D277" s="3"/>
    </row>
    <row r="278" spans="2:4" x14ac:dyDescent="0.25">
      <c r="B278" s="3"/>
      <c r="D278" s="3"/>
    </row>
    <row r="279" spans="2:4" x14ac:dyDescent="0.25">
      <c r="B279" s="3"/>
      <c r="D279" s="3"/>
    </row>
    <row r="280" spans="2:4" x14ac:dyDescent="0.25">
      <c r="B280" s="3"/>
      <c r="D280" s="3"/>
    </row>
    <row r="281" spans="2:4" x14ac:dyDescent="0.25">
      <c r="B281" s="3"/>
      <c r="D281" s="3"/>
    </row>
    <row r="282" spans="2:4" x14ac:dyDescent="0.25">
      <c r="B282" s="3"/>
      <c r="D282" s="3"/>
    </row>
    <row r="283" spans="2:4" x14ac:dyDescent="0.25">
      <c r="B283" s="3"/>
      <c r="D283" s="3"/>
    </row>
    <row r="284" spans="2:4" x14ac:dyDescent="0.25">
      <c r="B284" s="3"/>
      <c r="D284" s="3"/>
    </row>
    <row r="285" spans="2:4" x14ac:dyDescent="0.25">
      <c r="B285" s="3"/>
      <c r="D285" s="3"/>
    </row>
    <row r="286" spans="2:4" x14ac:dyDescent="0.25">
      <c r="B286" s="3"/>
      <c r="D286" s="3"/>
    </row>
    <row r="287" spans="2:4" x14ac:dyDescent="0.25">
      <c r="B287" s="3"/>
      <c r="D287" s="3"/>
    </row>
    <row r="288" spans="2:4" x14ac:dyDescent="0.25">
      <c r="B288" s="3"/>
      <c r="D288" s="3"/>
    </row>
    <row r="289" spans="2:4" x14ac:dyDescent="0.25">
      <c r="B289" s="3"/>
      <c r="D289" s="3"/>
    </row>
    <row r="290" spans="2:4" x14ac:dyDescent="0.25">
      <c r="B290" s="3"/>
      <c r="D290" s="3"/>
    </row>
    <row r="291" spans="2:4" x14ac:dyDescent="0.25">
      <c r="B291" s="3"/>
      <c r="D291" s="3"/>
    </row>
    <row r="292" spans="2:4" x14ac:dyDescent="0.25">
      <c r="B292" s="3"/>
      <c r="D292" s="3"/>
    </row>
    <row r="293" spans="2:4" x14ac:dyDescent="0.25">
      <c r="B293" s="3"/>
      <c r="D293" s="3"/>
    </row>
    <row r="294" spans="2:4" x14ac:dyDescent="0.25">
      <c r="B294" s="3"/>
      <c r="D294" s="3"/>
    </row>
    <row r="295" spans="2:4" x14ac:dyDescent="0.25">
      <c r="B295" s="3"/>
      <c r="D295" s="3"/>
    </row>
    <row r="296" spans="2:4" x14ac:dyDescent="0.25">
      <c r="B296" s="3"/>
      <c r="D296" s="3"/>
    </row>
    <row r="297" spans="2:4" x14ac:dyDescent="0.25">
      <c r="B297" s="3"/>
      <c r="D297" s="3"/>
    </row>
    <row r="298" spans="2:4" x14ac:dyDescent="0.25">
      <c r="B298" s="3"/>
      <c r="D298" s="3"/>
    </row>
    <row r="299" spans="2:4" x14ac:dyDescent="0.25">
      <c r="B299" s="3"/>
      <c r="D299" s="3"/>
    </row>
    <row r="300" spans="2:4" x14ac:dyDescent="0.25">
      <c r="B300" s="3"/>
      <c r="D300" s="3"/>
    </row>
    <row r="301" spans="2:4" x14ac:dyDescent="0.25">
      <c r="B301" s="3"/>
      <c r="D301" s="3"/>
    </row>
    <row r="302" spans="2:4" x14ac:dyDescent="0.25">
      <c r="B302" s="3"/>
      <c r="D302" s="3"/>
    </row>
    <row r="303" spans="2:4" x14ac:dyDescent="0.25">
      <c r="B303" s="3"/>
      <c r="D303" s="3"/>
    </row>
    <row r="304" spans="2:4" x14ac:dyDescent="0.25">
      <c r="B304" s="3"/>
      <c r="D304" s="3"/>
    </row>
    <row r="305" spans="2:4" x14ac:dyDescent="0.25">
      <c r="B305" s="3"/>
      <c r="D305" s="3"/>
    </row>
    <row r="306" spans="2:4" x14ac:dyDescent="0.25">
      <c r="B306" s="3"/>
      <c r="D306" s="3"/>
    </row>
    <row r="307" spans="2:4" x14ac:dyDescent="0.25">
      <c r="B307" s="3"/>
      <c r="D307" s="3"/>
    </row>
    <row r="308" spans="2:4" x14ac:dyDescent="0.25">
      <c r="B308" s="3"/>
      <c r="D308" s="3"/>
    </row>
    <row r="309" spans="2:4" x14ac:dyDescent="0.25">
      <c r="B309" s="3"/>
      <c r="D309" s="3"/>
    </row>
    <row r="310" spans="2:4" x14ac:dyDescent="0.25">
      <c r="B310" s="3"/>
      <c r="D310" s="3"/>
    </row>
    <row r="311" spans="2:4" x14ac:dyDescent="0.25">
      <c r="B311" s="3"/>
      <c r="D311" s="3"/>
    </row>
    <row r="312" spans="2:4" x14ac:dyDescent="0.25">
      <c r="B312" s="3"/>
      <c r="D312" s="3"/>
    </row>
    <row r="313" spans="2:4" x14ac:dyDescent="0.25">
      <c r="B313" s="3"/>
      <c r="D313" s="3"/>
    </row>
    <row r="314" spans="2:4" x14ac:dyDescent="0.25">
      <c r="B314" s="3"/>
      <c r="D314" s="3"/>
    </row>
    <row r="315" spans="2:4" x14ac:dyDescent="0.25">
      <c r="B315" s="3"/>
      <c r="D315" s="3"/>
    </row>
    <row r="316" spans="2:4" x14ac:dyDescent="0.25">
      <c r="B316" s="3"/>
      <c r="D316" s="3"/>
    </row>
    <row r="317" spans="2:4" x14ac:dyDescent="0.25">
      <c r="B317" s="3"/>
      <c r="D317" s="3"/>
    </row>
    <row r="318" spans="2:4" x14ac:dyDescent="0.25">
      <c r="B318" s="3"/>
      <c r="D318" s="3"/>
    </row>
    <row r="319" spans="2:4" x14ac:dyDescent="0.25">
      <c r="B319" s="3"/>
      <c r="D319" s="3"/>
    </row>
    <row r="320" spans="2:4" x14ac:dyDescent="0.25">
      <c r="B320" s="3"/>
      <c r="D320" s="3"/>
    </row>
    <row r="321" spans="2:4" x14ac:dyDescent="0.25">
      <c r="B321" s="3"/>
      <c r="D321" s="3"/>
    </row>
    <row r="322" spans="2:4" x14ac:dyDescent="0.25">
      <c r="B322" s="3"/>
      <c r="D322" s="3"/>
    </row>
    <row r="323" spans="2:4" x14ac:dyDescent="0.25">
      <c r="B323" s="3"/>
      <c r="D323" s="3"/>
    </row>
    <row r="324" spans="2:4" x14ac:dyDescent="0.25">
      <c r="B324" s="3"/>
      <c r="D324" s="3"/>
    </row>
    <row r="325" spans="2:4" x14ac:dyDescent="0.25">
      <c r="B325" s="3"/>
      <c r="D325" s="3"/>
    </row>
    <row r="326" spans="2:4" x14ac:dyDescent="0.25">
      <c r="B326" s="3"/>
      <c r="D326" s="3"/>
    </row>
    <row r="327" spans="2:4" x14ac:dyDescent="0.25">
      <c r="B327" s="3"/>
      <c r="D327" s="3"/>
    </row>
    <row r="328" spans="2:4" x14ac:dyDescent="0.25">
      <c r="B328" s="3"/>
      <c r="D328" s="3"/>
    </row>
    <row r="329" spans="2:4" x14ac:dyDescent="0.25">
      <c r="B329" s="3"/>
      <c r="D329" s="3"/>
    </row>
    <row r="330" spans="2:4" x14ac:dyDescent="0.25">
      <c r="B330" s="3"/>
      <c r="D330" s="3"/>
    </row>
    <row r="331" spans="2:4" x14ac:dyDescent="0.25">
      <c r="B331" s="3"/>
      <c r="D331" s="3"/>
    </row>
    <row r="332" spans="2:4" x14ac:dyDescent="0.25">
      <c r="B332" s="3"/>
      <c r="D332" s="3"/>
    </row>
    <row r="333" spans="2:4" x14ac:dyDescent="0.25">
      <c r="B333" s="3"/>
      <c r="D333" s="3"/>
    </row>
    <row r="334" spans="2:4" x14ac:dyDescent="0.25">
      <c r="B334" s="3"/>
      <c r="D334" s="3"/>
    </row>
    <row r="335" spans="2:4" x14ac:dyDescent="0.25">
      <c r="B335" s="3"/>
      <c r="D335" s="3"/>
    </row>
    <row r="336" spans="2:4" x14ac:dyDescent="0.25">
      <c r="B336" s="3"/>
      <c r="D336" s="3"/>
    </row>
    <row r="337" spans="2:4" x14ac:dyDescent="0.25">
      <c r="B337" s="3"/>
      <c r="D337" s="3"/>
    </row>
    <row r="338" spans="2:4" x14ac:dyDescent="0.25">
      <c r="B338" s="3"/>
      <c r="D338" s="3"/>
    </row>
    <row r="339" spans="2:4" x14ac:dyDescent="0.25">
      <c r="B339" s="3"/>
      <c r="D339" s="3"/>
    </row>
    <row r="340" spans="2:4" x14ac:dyDescent="0.25">
      <c r="B340" s="3"/>
      <c r="D340" s="3"/>
    </row>
    <row r="341" spans="2:4" x14ac:dyDescent="0.25">
      <c r="B341" s="3"/>
      <c r="D341" s="3"/>
    </row>
    <row r="342" spans="2:4" x14ac:dyDescent="0.25">
      <c r="B342" s="3"/>
      <c r="D342" s="3"/>
    </row>
    <row r="343" spans="2:4" x14ac:dyDescent="0.25">
      <c r="B343" s="3"/>
      <c r="D343" s="3"/>
    </row>
    <row r="344" spans="2:4" x14ac:dyDescent="0.25">
      <c r="B344" s="3"/>
      <c r="D344" s="3"/>
    </row>
    <row r="345" spans="2:4" x14ac:dyDescent="0.25">
      <c r="B345" s="3"/>
      <c r="D345" s="3"/>
    </row>
    <row r="346" spans="2:4" x14ac:dyDescent="0.25">
      <c r="B346" s="3"/>
      <c r="D346" s="3"/>
    </row>
    <row r="347" spans="2:4" x14ac:dyDescent="0.25">
      <c r="B347" s="3"/>
      <c r="D347" s="3"/>
    </row>
    <row r="348" spans="2:4" x14ac:dyDescent="0.25">
      <c r="B348" s="3"/>
      <c r="D348" s="3"/>
    </row>
    <row r="349" spans="2:4" x14ac:dyDescent="0.25">
      <c r="B349" s="3"/>
      <c r="D349" s="3"/>
    </row>
    <row r="350" spans="2:4" x14ac:dyDescent="0.25">
      <c r="B350" s="3"/>
      <c r="D350" s="3"/>
    </row>
    <row r="351" spans="2:4" x14ac:dyDescent="0.25">
      <c r="B351" s="3"/>
      <c r="D351" s="3"/>
    </row>
    <row r="352" spans="2:4" x14ac:dyDescent="0.25">
      <c r="B352" s="3"/>
      <c r="D352" s="3"/>
    </row>
    <row r="353" spans="2:4" x14ac:dyDescent="0.25">
      <c r="B353" s="3"/>
      <c r="D353" s="3"/>
    </row>
    <row r="354" spans="2:4" x14ac:dyDescent="0.25">
      <c r="B354" s="3"/>
      <c r="D354" s="3"/>
    </row>
    <row r="355" spans="2:4" x14ac:dyDescent="0.25">
      <c r="B355" s="3"/>
      <c r="D355" s="3"/>
    </row>
    <row r="356" spans="2:4" x14ac:dyDescent="0.25">
      <c r="B356" s="3"/>
      <c r="D356" s="3"/>
    </row>
    <row r="357" spans="2:4" x14ac:dyDescent="0.25">
      <c r="B357" s="3"/>
      <c r="D357" s="3"/>
    </row>
    <row r="358" spans="2:4" x14ac:dyDescent="0.25">
      <c r="B358" s="3"/>
      <c r="D358" s="3"/>
    </row>
    <row r="359" spans="2:4" x14ac:dyDescent="0.25">
      <c r="B359" s="3"/>
      <c r="D359" s="3"/>
    </row>
    <row r="360" spans="2:4" x14ac:dyDescent="0.25">
      <c r="B360" s="3"/>
      <c r="D360" s="3"/>
    </row>
    <row r="361" spans="2:4" x14ac:dyDescent="0.25">
      <c r="B361" s="3"/>
      <c r="D361" s="3"/>
    </row>
    <row r="362" spans="2:4" x14ac:dyDescent="0.25">
      <c r="B362" s="3"/>
      <c r="D362" s="3"/>
    </row>
    <row r="363" spans="2:4" x14ac:dyDescent="0.25">
      <c r="B363" s="3"/>
      <c r="D363" s="3"/>
    </row>
    <row r="364" spans="2:4" x14ac:dyDescent="0.25">
      <c r="B364" s="3"/>
      <c r="D364" s="3"/>
    </row>
    <row r="365" spans="2:4" x14ac:dyDescent="0.25">
      <c r="B365" s="3"/>
      <c r="D365" s="3"/>
    </row>
    <row r="366" spans="2:4" x14ac:dyDescent="0.25">
      <c r="B366" s="3"/>
      <c r="D366" s="3"/>
    </row>
    <row r="367" spans="2:4" x14ac:dyDescent="0.25">
      <c r="B367" s="3"/>
      <c r="D367" s="3"/>
    </row>
    <row r="368" spans="2:4" x14ac:dyDescent="0.25">
      <c r="B368" s="3"/>
      <c r="D368" s="3"/>
    </row>
    <row r="369" spans="2:4" x14ac:dyDescent="0.25">
      <c r="B369" s="3"/>
      <c r="D369" s="3"/>
    </row>
    <row r="370" spans="2:4" x14ac:dyDescent="0.25">
      <c r="B370" s="3"/>
      <c r="D370" s="3"/>
    </row>
    <row r="371" spans="2:4" x14ac:dyDescent="0.25">
      <c r="B371" s="3"/>
      <c r="D371" s="3"/>
    </row>
    <row r="372" spans="2:4" x14ac:dyDescent="0.25">
      <c r="B372" s="3"/>
      <c r="D372" s="3"/>
    </row>
    <row r="373" spans="2:4" x14ac:dyDescent="0.25">
      <c r="B373" s="3"/>
      <c r="D373" s="3"/>
    </row>
    <row r="374" spans="2:4" x14ac:dyDescent="0.25">
      <c r="B374" s="3"/>
      <c r="D374" s="3"/>
    </row>
    <row r="375" spans="2:4" x14ac:dyDescent="0.25">
      <c r="B375" s="3"/>
      <c r="D375" s="3"/>
    </row>
    <row r="376" spans="2:4" x14ac:dyDescent="0.25">
      <c r="B376" s="3"/>
      <c r="D376" s="3"/>
    </row>
    <row r="377" spans="2:4" x14ac:dyDescent="0.25">
      <c r="B377" s="3"/>
      <c r="D377" s="3"/>
    </row>
    <row r="378" spans="2:4" x14ac:dyDescent="0.25">
      <c r="B378" s="3"/>
      <c r="D378" s="3"/>
    </row>
    <row r="379" spans="2:4" x14ac:dyDescent="0.25">
      <c r="B379" s="3"/>
      <c r="D379" s="3"/>
    </row>
    <row r="380" spans="2:4" x14ac:dyDescent="0.25">
      <c r="B380" s="3"/>
      <c r="D380" s="3"/>
    </row>
    <row r="381" spans="2:4" x14ac:dyDescent="0.25">
      <c r="B381" s="3"/>
      <c r="D381" s="3"/>
    </row>
    <row r="382" spans="2:4" x14ac:dyDescent="0.25">
      <c r="B382" s="3"/>
      <c r="D382" s="3"/>
    </row>
    <row r="383" spans="2:4" x14ac:dyDescent="0.25">
      <c r="B383" s="3"/>
      <c r="D383" s="3"/>
    </row>
    <row r="384" spans="2:4" x14ac:dyDescent="0.25">
      <c r="B384" s="3"/>
      <c r="D384" s="3"/>
    </row>
    <row r="385" spans="2:4" x14ac:dyDescent="0.25">
      <c r="B385" s="3"/>
      <c r="D385" s="3"/>
    </row>
    <row r="386" spans="2:4" x14ac:dyDescent="0.25">
      <c r="B386" s="3"/>
      <c r="D386" s="3"/>
    </row>
    <row r="387" spans="2:4" x14ac:dyDescent="0.25">
      <c r="B387" s="3"/>
      <c r="D387" s="3"/>
    </row>
    <row r="388" spans="2:4" x14ac:dyDescent="0.25">
      <c r="B388" s="3"/>
      <c r="D388" s="3"/>
    </row>
    <row r="389" spans="2:4" x14ac:dyDescent="0.25">
      <c r="B389" s="3"/>
      <c r="D389" s="3"/>
    </row>
    <row r="390" spans="2:4" x14ac:dyDescent="0.25">
      <c r="B390" s="3"/>
      <c r="D390" s="3"/>
    </row>
    <row r="391" spans="2:4" x14ac:dyDescent="0.25">
      <c r="B391" s="3"/>
      <c r="D391" s="3"/>
    </row>
    <row r="392" spans="2:4" x14ac:dyDescent="0.25">
      <c r="B392" s="3"/>
      <c r="D392" s="3"/>
    </row>
    <row r="393" spans="2:4" x14ac:dyDescent="0.25">
      <c r="B393" s="3"/>
      <c r="D393" s="3"/>
    </row>
    <row r="394" spans="2:4" x14ac:dyDescent="0.25">
      <c r="B394" s="3"/>
      <c r="D394" s="3"/>
    </row>
    <row r="395" spans="2:4" x14ac:dyDescent="0.25">
      <c r="B395" s="3"/>
      <c r="D395" s="3"/>
    </row>
    <row r="396" spans="2:4" x14ac:dyDescent="0.25">
      <c r="B396" s="3"/>
      <c r="D396" s="3"/>
    </row>
    <row r="397" spans="2:4" x14ac:dyDescent="0.25">
      <c r="B397" s="3"/>
      <c r="D397" s="3"/>
    </row>
    <row r="398" spans="2:4" x14ac:dyDescent="0.25">
      <c r="B398" s="3"/>
      <c r="D398" s="3"/>
    </row>
    <row r="399" spans="2:4" x14ac:dyDescent="0.25">
      <c r="B399" s="3"/>
      <c r="D399" s="3"/>
    </row>
    <row r="400" spans="2:4" x14ac:dyDescent="0.25">
      <c r="B400" s="3"/>
      <c r="D400" s="3"/>
    </row>
    <row r="401" spans="2:4" x14ac:dyDescent="0.25">
      <c r="B401" s="3"/>
      <c r="D401" s="3"/>
    </row>
    <row r="402" spans="2:4" x14ac:dyDescent="0.25">
      <c r="B402" s="3"/>
      <c r="D402" s="3"/>
    </row>
    <row r="403" spans="2:4" x14ac:dyDescent="0.25">
      <c r="B403" s="3"/>
      <c r="D403" s="3"/>
    </row>
    <row r="404" spans="2:4" x14ac:dyDescent="0.25">
      <c r="B404" s="3"/>
      <c r="D404" s="3"/>
    </row>
    <row r="405" spans="2:4" x14ac:dyDescent="0.25">
      <c r="B405" s="3"/>
      <c r="D405" s="3"/>
    </row>
    <row r="406" spans="2:4" x14ac:dyDescent="0.25">
      <c r="B406" s="3"/>
      <c r="D406" s="3"/>
    </row>
    <row r="407" spans="2:4" x14ac:dyDescent="0.25">
      <c r="B407" s="3"/>
      <c r="D407" s="3"/>
    </row>
    <row r="408" spans="2:4" x14ac:dyDescent="0.25">
      <c r="B408" s="3"/>
      <c r="D408" s="3"/>
    </row>
    <row r="409" spans="2:4" x14ac:dyDescent="0.25">
      <c r="B409" s="3"/>
      <c r="D409" s="3"/>
    </row>
    <row r="410" spans="2:4" x14ac:dyDescent="0.25">
      <c r="B410" s="3"/>
      <c r="D410" s="3"/>
    </row>
    <row r="411" spans="2:4" x14ac:dyDescent="0.25">
      <c r="B411" s="3"/>
      <c r="D411" s="3"/>
    </row>
    <row r="412" spans="2:4" x14ac:dyDescent="0.25">
      <c r="B412" s="3"/>
      <c r="D412" s="3"/>
    </row>
    <row r="413" spans="2:4" x14ac:dyDescent="0.25">
      <c r="B413" s="3"/>
      <c r="D413" s="3"/>
    </row>
    <row r="414" spans="2:4" x14ac:dyDescent="0.25">
      <c r="B414" s="3"/>
      <c r="D414" s="3"/>
    </row>
    <row r="415" spans="2:4" x14ac:dyDescent="0.25">
      <c r="B415" s="3"/>
      <c r="D415" s="3"/>
    </row>
    <row r="416" spans="2:4" x14ac:dyDescent="0.25">
      <c r="B416" s="3"/>
      <c r="D416" s="3"/>
    </row>
    <row r="417" spans="2:4" x14ac:dyDescent="0.25">
      <c r="B417" s="3"/>
      <c r="D417" s="3"/>
    </row>
    <row r="418" spans="2:4" x14ac:dyDescent="0.25">
      <c r="B418" s="3"/>
      <c r="D418" s="3"/>
    </row>
    <row r="419" spans="2:4" x14ac:dyDescent="0.25">
      <c r="B419" s="3"/>
      <c r="D419" s="3"/>
    </row>
    <row r="420" spans="2:4" x14ac:dyDescent="0.25">
      <c r="B420" s="3"/>
      <c r="D420" s="3"/>
    </row>
    <row r="421" spans="2:4" x14ac:dyDescent="0.25">
      <c r="B421" s="3"/>
      <c r="D421" s="3"/>
    </row>
    <row r="422" spans="2:4" x14ac:dyDescent="0.25">
      <c r="B422" s="3"/>
      <c r="D422" s="3"/>
    </row>
    <row r="423" spans="2:4" x14ac:dyDescent="0.25">
      <c r="B423" s="3"/>
      <c r="D423" s="3"/>
    </row>
    <row r="424" spans="2:4" x14ac:dyDescent="0.25">
      <c r="B424" s="3"/>
      <c r="D424" s="3"/>
    </row>
    <row r="425" spans="2:4" x14ac:dyDescent="0.25">
      <c r="B425" s="3"/>
      <c r="D425" s="3"/>
    </row>
    <row r="426" spans="2:4" x14ac:dyDescent="0.25">
      <c r="B426" s="3"/>
      <c r="D426" s="3"/>
    </row>
    <row r="427" spans="2:4" x14ac:dyDescent="0.25">
      <c r="B427" s="3"/>
      <c r="D427" s="3"/>
    </row>
    <row r="428" spans="2:4" x14ac:dyDescent="0.25">
      <c r="B428" s="3"/>
      <c r="D428" s="3"/>
    </row>
    <row r="429" spans="2:4" x14ac:dyDescent="0.25">
      <c r="B429" s="3"/>
      <c r="D429" s="3"/>
    </row>
    <row r="430" spans="2:4" x14ac:dyDescent="0.25">
      <c r="B430" s="3"/>
      <c r="D430" s="3"/>
    </row>
    <row r="431" spans="2:4" x14ac:dyDescent="0.25">
      <c r="B431" s="3"/>
      <c r="D431" s="3"/>
    </row>
    <row r="432" spans="2:4" x14ac:dyDescent="0.25">
      <c r="B432" s="3"/>
      <c r="D432" s="3"/>
    </row>
    <row r="433" spans="2:4" x14ac:dyDescent="0.25">
      <c r="B433" s="3"/>
      <c r="D433" s="3"/>
    </row>
    <row r="434" spans="2:4" x14ac:dyDescent="0.25">
      <c r="B434" s="3"/>
      <c r="D434" s="3"/>
    </row>
    <row r="435" spans="2:4" x14ac:dyDescent="0.25">
      <c r="B435" s="3"/>
      <c r="D435" s="3"/>
    </row>
    <row r="436" spans="2:4" x14ac:dyDescent="0.25">
      <c r="B436" s="3"/>
      <c r="D436" s="3"/>
    </row>
    <row r="437" spans="2:4" x14ac:dyDescent="0.25">
      <c r="B437" s="3"/>
      <c r="D437" s="3"/>
    </row>
    <row r="438" spans="2:4" x14ac:dyDescent="0.25">
      <c r="B438" s="3"/>
      <c r="D438" s="3"/>
    </row>
    <row r="439" spans="2:4" x14ac:dyDescent="0.25">
      <c r="B439" s="3"/>
      <c r="D439" s="3"/>
    </row>
    <row r="440" spans="2:4" x14ac:dyDescent="0.25">
      <c r="B440" s="3"/>
      <c r="D440" s="3"/>
    </row>
    <row r="441" spans="2:4" x14ac:dyDescent="0.25">
      <c r="B441" s="3"/>
      <c r="D441" s="3"/>
    </row>
    <row r="442" spans="2:4" x14ac:dyDescent="0.25">
      <c r="B442" s="3"/>
      <c r="D442" s="3"/>
    </row>
    <row r="443" spans="2:4" x14ac:dyDescent="0.25">
      <c r="B443" s="3"/>
      <c r="D443" s="3"/>
    </row>
    <row r="444" spans="2:4" x14ac:dyDescent="0.25">
      <c r="B444" s="3"/>
      <c r="D444" s="3"/>
    </row>
    <row r="445" spans="2:4" x14ac:dyDescent="0.25">
      <c r="B445" s="3"/>
      <c r="D445" s="3"/>
    </row>
    <row r="446" spans="2:4" x14ac:dyDescent="0.25">
      <c r="B446" s="3"/>
      <c r="D446" s="3"/>
    </row>
    <row r="447" spans="2:4" x14ac:dyDescent="0.25">
      <c r="B447" s="3"/>
      <c r="D447" s="3"/>
    </row>
    <row r="448" spans="2:4" x14ac:dyDescent="0.25">
      <c r="B448" s="3"/>
      <c r="D448" s="3"/>
    </row>
    <row r="449" spans="2:4" x14ac:dyDescent="0.25">
      <c r="B449" s="3"/>
      <c r="D449" s="3"/>
    </row>
    <row r="450" spans="2:4" x14ac:dyDescent="0.25">
      <c r="B450" s="3"/>
      <c r="D450" s="3"/>
    </row>
    <row r="451" spans="2:4" x14ac:dyDescent="0.25">
      <c r="B451" s="3"/>
      <c r="D451" s="3"/>
    </row>
    <row r="452" spans="2:4" x14ac:dyDescent="0.25">
      <c r="B452" s="3"/>
      <c r="D452" s="3"/>
    </row>
    <row r="453" spans="2:4" x14ac:dyDescent="0.25">
      <c r="B453" s="3"/>
      <c r="D453" s="3"/>
    </row>
    <row r="454" spans="2:4" x14ac:dyDescent="0.25">
      <c r="B454" s="3"/>
      <c r="D454" s="3"/>
    </row>
    <row r="455" spans="2:4" x14ac:dyDescent="0.25">
      <c r="B455" s="3"/>
      <c r="D455" s="3"/>
    </row>
    <row r="456" spans="2:4" x14ac:dyDescent="0.25">
      <c r="B456" s="3"/>
      <c r="D456" s="3"/>
    </row>
    <row r="457" spans="2:4" x14ac:dyDescent="0.25">
      <c r="B457" s="3"/>
      <c r="D457" s="3"/>
    </row>
    <row r="458" spans="2:4" x14ac:dyDescent="0.25">
      <c r="B458" s="3"/>
      <c r="D458" s="3"/>
    </row>
    <row r="459" spans="2:4" x14ac:dyDescent="0.25">
      <c r="B459" s="3"/>
      <c r="D459" s="3"/>
    </row>
    <row r="460" spans="2:4" x14ac:dyDescent="0.25">
      <c r="B460" s="3"/>
      <c r="D460" s="3"/>
    </row>
    <row r="461" spans="2:4" x14ac:dyDescent="0.25">
      <c r="B461" s="3"/>
      <c r="D461" s="3"/>
    </row>
    <row r="462" spans="2:4" x14ac:dyDescent="0.25">
      <c r="B462" s="3"/>
      <c r="D462" s="3"/>
    </row>
    <row r="463" spans="2:4" x14ac:dyDescent="0.25">
      <c r="B463" s="3"/>
      <c r="D463" s="3"/>
    </row>
    <row r="464" spans="2:4" x14ac:dyDescent="0.25">
      <c r="B464" s="3"/>
      <c r="D464" s="3"/>
    </row>
    <row r="465" spans="2:4" x14ac:dyDescent="0.25">
      <c r="B465" s="3"/>
      <c r="D465" s="3"/>
    </row>
    <row r="466" spans="2:4" x14ac:dyDescent="0.25">
      <c r="B466" s="3"/>
      <c r="D466" s="3"/>
    </row>
    <row r="467" spans="2:4" x14ac:dyDescent="0.25">
      <c r="B467" s="3"/>
      <c r="D467" s="3"/>
    </row>
    <row r="468" spans="2:4" x14ac:dyDescent="0.25">
      <c r="B468" s="3"/>
      <c r="D468" s="3"/>
    </row>
    <row r="469" spans="2:4" x14ac:dyDescent="0.25">
      <c r="B469" s="3"/>
      <c r="D469" s="3"/>
    </row>
    <row r="470" spans="2:4" x14ac:dyDescent="0.25">
      <c r="B470" s="3"/>
      <c r="D470" s="3"/>
    </row>
    <row r="471" spans="2:4" x14ac:dyDescent="0.25">
      <c r="B471" s="3"/>
      <c r="D471" s="3"/>
    </row>
    <row r="472" spans="2:4" x14ac:dyDescent="0.25">
      <c r="B472" s="3"/>
      <c r="D472" s="3"/>
    </row>
    <row r="473" spans="2:4" x14ac:dyDescent="0.25">
      <c r="B473" s="3"/>
      <c r="D473" s="3"/>
    </row>
    <row r="474" spans="2:4" x14ac:dyDescent="0.25">
      <c r="B474" s="3"/>
      <c r="D474" s="3"/>
    </row>
    <row r="475" spans="2:4" x14ac:dyDescent="0.25">
      <c r="B475" s="3"/>
      <c r="D475" s="3"/>
    </row>
    <row r="476" spans="2:4" x14ac:dyDescent="0.25">
      <c r="B476" s="3"/>
      <c r="D476" s="3"/>
    </row>
    <row r="477" spans="2:4" x14ac:dyDescent="0.25">
      <c r="B477" s="3"/>
      <c r="D477" s="3"/>
    </row>
    <row r="478" spans="2:4" x14ac:dyDescent="0.25">
      <c r="B478" s="3"/>
      <c r="D478" s="3"/>
    </row>
    <row r="479" spans="2:4" x14ac:dyDescent="0.25">
      <c r="B479" s="3"/>
      <c r="D479" s="3"/>
    </row>
    <row r="480" spans="2:4" x14ac:dyDescent="0.25">
      <c r="B480" s="3"/>
      <c r="D480" s="3"/>
    </row>
    <row r="481" spans="2:4" x14ac:dyDescent="0.25">
      <c r="B481" s="3"/>
      <c r="D481" s="3"/>
    </row>
    <row r="482" spans="2:4" x14ac:dyDescent="0.25">
      <c r="B482" s="3"/>
      <c r="D482" s="3"/>
    </row>
    <row r="483" spans="2:4" x14ac:dyDescent="0.25">
      <c r="B483" s="3"/>
      <c r="D483" s="3"/>
    </row>
    <row r="484" spans="2:4" x14ac:dyDescent="0.25">
      <c r="B484" s="3"/>
      <c r="D484" s="3"/>
    </row>
    <row r="485" spans="2:4" x14ac:dyDescent="0.25">
      <c r="B485" s="3"/>
      <c r="D485" s="3"/>
    </row>
    <row r="486" spans="2:4" x14ac:dyDescent="0.25">
      <c r="B486" s="3"/>
      <c r="D486" s="3"/>
    </row>
    <row r="487" spans="2:4" x14ac:dyDescent="0.25">
      <c r="B487" s="3"/>
      <c r="D487" s="3"/>
    </row>
    <row r="488" spans="2:4" x14ac:dyDescent="0.25">
      <c r="B488" s="3"/>
      <c r="D488" s="3"/>
    </row>
    <row r="489" spans="2:4" x14ac:dyDescent="0.25">
      <c r="B489" s="3"/>
      <c r="D489" s="3"/>
    </row>
    <row r="490" spans="2:4" x14ac:dyDescent="0.25">
      <c r="B490" s="3"/>
      <c r="D490" s="3"/>
    </row>
    <row r="491" spans="2:4" x14ac:dyDescent="0.25">
      <c r="B491" s="3"/>
      <c r="D491" s="3"/>
    </row>
    <row r="492" spans="2:4" x14ac:dyDescent="0.25">
      <c r="B492" s="3"/>
      <c r="D492" s="3"/>
    </row>
    <row r="493" spans="2:4" x14ac:dyDescent="0.25">
      <c r="B493" s="3"/>
      <c r="D493" s="3"/>
    </row>
    <row r="494" spans="2:4" x14ac:dyDescent="0.25">
      <c r="B494" s="3"/>
      <c r="D494" s="3"/>
    </row>
    <row r="495" spans="2:4" x14ac:dyDescent="0.25">
      <c r="B495" s="3"/>
      <c r="D495" s="3"/>
    </row>
    <row r="496" spans="2:4" x14ac:dyDescent="0.25">
      <c r="B496" s="3"/>
      <c r="D496" s="3"/>
    </row>
    <row r="497" spans="2:4" x14ac:dyDescent="0.25">
      <c r="B497" s="3"/>
      <c r="D497" s="3"/>
    </row>
    <row r="498" spans="2:4" x14ac:dyDescent="0.25">
      <c r="B498" s="3"/>
      <c r="D498" s="3"/>
    </row>
    <row r="499" spans="2:4" x14ac:dyDescent="0.25">
      <c r="B499" s="3"/>
      <c r="D499" s="3"/>
    </row>
    <row r="500" spans="2:4" x14ac:dyDescent="0.25">
      <c r="B500" s="3"/>
      <c r="D500" s="3"/>
    </row>
    <row r="501" spans="2:4" x14ac:dyDescent="0.25">
      <c r="B501" s="3"/>
      <c r="D501" s="3"/>
    </row>
    <row r="502" spans="2:4" x14ac:dyDescent="0.25">
      <c r="B502" s="3"/>
      <c r="D502" s="3"/>
    </row>
    <row r="503" spans="2:4" x14ac:dyDescent="0.25">
      <c r="B503" s="3"/>
      <c r="D503" s="3"/>
    </row>
    <row r="504" spans="2:4" x14ac:dyDescent="0.25">
      <c r="B504" s="3"/>
      <c r="D504" s="3"/>
    </row>
    <row r="505" spans="2:4" x14ac:dyDescent="0.25">
      <c r="B505" s="3"/>
      <c r="D505" s="3"/>
    </row>
    <row r="506" spans="2:4" x14ac:dyDescent="0.25">
      <c r="B506" s="3"/>
      <c r="D506" s="3"/>
    </row>
    <row r="507" spans="2:4" x14ac:dyDescent="0.25">
      <c r="B507" s="3"/>
      <c r="D507" s="3"/>
    </row>
    <row r="508" spans="2:4" x14ac:dyDescent="0.25">
      <c r="B508" s="3"/>
      <c r="D508" s="3"/>
    </row>
    <row r="509" spans="2:4" x14ac:dyDescent="0.25">
      <c r="B509" s="3"/>
      <c r="D509" s="3"/>
    </row>
    <row r="510" spans="2:4" x14ac:dyDescent="0.25">
      <c r="B510" s="3"/>
      <c r="D510" s="3"/>
    </row>
    <row r="511" spans="2:4" x14ac:dyDescent="0.25">
      <c r="B511" s="3"/>
      <c r="D511" s="3"/>
    </row>
    <row r="512" spans="2:4" x14ac:dyDescent="0.25">
      <c r="B512" s="3"/>
      <c r="D512" s="3"/>
    </row>
    <row r="513" spans="2:4" x14ac:dyDescent="0.25">
      <c r="B513" s="3"/>
      <c r="D513" s="3"/>
    </row>
    <row r="514" spans="2:4" x14ac:dyDescent="0.25">
      <c r="B514" s="3"/>
      <c r="D514" s="3"/>
    </row>
    <row r="515" spans="2:4" x14ac:dyDescent="0.25">
      <c r="B515" s="3"/>
      <c r="D515" s="3"/>
    </row>
    <row r="516" spans="2:4" x14ac:dyDescent="0.25">
      <c r="B516" s="3"/>
      <c r="D516" s="3"/>
    </row>
    <row r="517" spans="2:4" x14ac:dyDescent="0.25">
      <c r="B517" s="3"/>
      <c r="D517" s="3"/>
    </row>
    <row r="518" spans="2:4" x14ac:dyDescent="0.25">
      <c r="B518" s="3"/>
      <c r="D518" s="3"/>
    </row>
    <row r="519" spans="2:4" x14ac:dyDescent="0.25">
      <c r="B519" s="3"/>
      <c r="D519" s="3"/>
    </row>
    <row r="520" spans="2:4" x14ac:dyDescent="0.25">
      <c r="B520" s="3"/>
      <c r="D520" s="3"/>
    </row>
    <row r="521" spans="2:4" x14ac:dyDescent="0.25">
      <c r="B521" s="3"/>
      <c r="D521" s="3"/>
    </row>
    <row r="522" spans="2:4" x14ac:dyDescent="0.25">
      <c r="B522" s="3"/>
      <c r="D522" s="3"/>
    </row>
    <row r="523" spans="2:4" x14ac:dyDescent="0.25">
      <c r="B523" s="3"/>
      <c r="D523" s="3"/>
    </row>
    <row r="524" spans="2:4" x14ac:dyDescent="0.25">
      <c r="B524" s="3"/>
      <c r="D524" s="3"/>
    </row>
    <row r="525" spans="2:4" x14ac:dyDescent="0.25">
      <c r="B525" s="3"/>
      <c r="D525" s="3"/>
    </row>
    <row r="526" spans="2:4" x14ac:dyDescent="0.25">
      <c r="B526" s="3"/>
      <c r="D526" s="3"/>
    </row>
    <row r="527" spans="2:4" x14ac:dyDescent="0.25">
      <c r="B527" s="3"/>
      <c r="D527" s="3"/>
    </row>
    <row r="528" spans="2:4" x14ac:dyDescent="0.25">
      <c r="B528" s="3"/>
      <c r="D528" s="3"/>
    </row>
    <row r="529" spans="2:4" x14ac:dyDescent="0.25">
      <c r="B529" s="3"/>
      <c r="D529" s="3"/>
    </row>
    <row r="530" spans="2:4" x14ac:dyDescent="0.25">
      <c r="B530" s="3"/>
      <c r="D530" s="3"/>
    </row>
    <row r="531" spans="2:4" x14ac:dyDescent="0.25">
      <c r="B531" s="3"/>
      <c r="D531" s="3"/>
    </row>
    <row r="532" spans="2:4" x14ac:dyDescent="0.25">
      <c r="B532" s="3"/>
      <c r="D532" s="3"/>
    </row>
    <row r="533" spans="2:4" x14ac:dyDescent="0.25">
      <c r="B533" s="3"/>
      <c r="D533" s="3"/>
    </row>
    <row r="534" spans="2:4" x14ac:dyDescent="0.25">
      <c r="B534" s="3"/>
      <c r="D534" s="3"/>
    </row>
    <row r="535" spans="2:4" x14ac:dyDescent="0.25">
      <c r="B535" s="3"/>
      <c r="D535" s="3"/>
    </row>
    <row r="536" spans="2:4" x14ac:dyDescent="0.25">
      <c r="B536" s="3"/>
      <c r="D536" s="3"/>
    </row>
    <row r="537" spans="2:4" x14ac:dyDescent="0.25">
      <c r="B537" s="3"/>
      <c r="D537" s="3"/>
    </row>
    <row r="538" spans="2:4" x14ac:dyDescent="0.25">
      <c r="B538" s="3"/>
      <c r="D538" s="3"/>
    </row>
    <row r="539" spans="2:4" x14ac:dyDescent="0.25">
      <c r="B539" s="3"/>
      <c r="D539" s="3"/>
    </row>
    <row r="540" spans="2:4" x14ac:dyDescent="0.25">
      <c r="B540" s="3"/>
      <c r="D540" s="3"/>
    </row>
    <row r="541" spans="2:4" x14ac:dyDescent="0.25">
      <c r="B541" s="3"/>
      <c r="D541" s="3"/>
    </row>
    <row r="542" spans="2:4" x14ac:dyDescent="0.25">
      <c r="B542" s="3"/>
      <c r="D542" s="3"/>
    </row>
    <row r="543" spans="2:4" x14ac:dyDescent="0.25">
      <c r="B543" s="3"/>
      <c r="D543" s="3"/>
    </row>
    <row r="544" spans="2:4" x14ac:dyDescent="0.25">
      <c r="B544" s="3"/>
      <c r="D544" s="3"/>
    </row>
    <row r="545" spans="2:4" x14ac:dyDescent="0.25">
      <c r="B545" s="3"/>
      <c r="D545" s="3"/>
    </row>
    <row r="546" spans="2:4" x14ac:dyDescent="0.25">
      <c r="B546" s="3"/>
      <c r="D546" s="3"/>
    </row>
    <row r="547" spans="2:4" x14ac:dyDescent="0.25">
      <c r="B547" s="3"/>
      <c r="D547" s="3"/>
    </row>
    <row r="548" spans="2:4" x14ac:dyDescent="0.25">
      <c r="B548" s="3"/>
      <c r="D548" s="3"/>
    </row>
    <row r="549" spans="2:4" x14ac:dyDescent="0.25">
      <c r="B549" s="3"/>
      <c r="D549" s="3"/>
    </row>
    <row r="550" spans="2:4" x14ac:dyDescent="0.25">
      <c r="B550" s="3"/>
      <c r="D550" s="3"/>
    </row>
    <row r="551" spans="2:4" x14ac:dyDescent="0.25">
      <c r="B551" s="3"/>
      <c r="D551" s="3"/>
    </row>
    <row r="552" spans="2:4" x14ac:dyDescent="0.25">
      <c r="B552" s="3"/>
      <c r="D552" s="3"/>
    </row>
    <row r="553" spans="2:4" x14ac:dyDescent="0.25">
      <c r="B553" s="3"/>
      <c r="D553" s="3"/>
    </row>
    <row r="554" spans="2:4" x14ac:dyDescent="0.25">
      <c r="B554" s="3"/>
      <c r="D554" s="3"/>
    </row>
    <row r="555" spans="2:4" x14ac:dyDescent="0.25">
      <c r="B555" s="3"/>
      <c r="D555" s="3"/>
    </row>
    <row r="556" spans="2:4" x14ac:dyDescent="0.25">
      <c r="B556" s="3"/>
      <c r="D556" s="3"/>
    </row>
    <row r="557" spans="2:4" x14ac:dyDescent="0.25">
      <c r="B557" s="3"/>
      <c r="D557" s="3"/>
    </row>
    <row r="558" spans="2:4" x14ac:dyDescent="0.25">
      <c r="B558" s="3"/>
      <c r="D558" s="3"/>
    </row>
    <row r="559" spans="2:4" x14ac:dyDescent="0.25">
      <c r="B559" s="3"/>
      <c r="D559" s="3"/>
    </row>
    <row r="560" spans="2:4" x14ac:dyDescent="0.25">
      <c r="B560" s="3"/>
      <c r="D560" s="3"/>
    </row>
    <row r="561" spans="2:4" x14ac:dyDescent="0.25">
      <c r="B561" s="3"/>
      <c r="D561" s="3"/>
    </row>
    <row r="562" spans="2:4" x14ac:dyDescent="0.25">
      <c r="B562" s="3"/>
      <c r="D562" s="3"/>
    </row>
    <row r="563" spans="2:4" x14ac:dyDescent="0.25">
      <c r="B563" s="3"/>
      <c r="D563" s="3"/>
    </row>
    <row r="564" spans="2:4" x14ac:dyDescent="0.25">
      <c r="B564" s="3"/>
      <c r="D564" s="3"/>
    </row>
    <row r="565" spans="2:4" x14ac:dyDescent="0.25">
      <c r="B565" s="3"/>
      <c r="D565" s="3"/>
    </row>
    <row r="566" spans="2:4" x14ac:dyDescent="0.25">
      <c r="B566" s="3"/>
      <c r="D566" s="3"/>
    </row>
    <row r="567" spans="2:4" x14ac:dyDescent="0.25">
      <c r="B567" s="3"/>
      <c r="D567" s="3"/>
    </row>
    <row r="568" spans="2:4" x14ac:dyDescent="0.25">
      <c r="B568" s="3"/>
      <c r="D568" s="3"/>
    </row>
    <row r="569" spans="2:4" x14ac:dyDescent="0.25">
      <c r="B569" s="3"/>
      <c r="D569" s="3"/>
    </row>
    <row r="570" spans="2:4" x14ac:dyDescent="0.25">
      <c r="B570" s="3"/>
      <c r="D570" s="3"/>
    </row>
    <row r="571" spans="2:4" x14ac:dyDescent="0.25">
      <c r="B571" s="3"/>
      <c r="D571" s="3"/>
    </row>
    <row r="572" spans="2:4" x14ac:dyDescent="0.25">
      <c r="B572" s="3"/>
      <c r="D572" s="3"/>
    </row>
    <row r="573" spans="2:4" x14ac:dyDescent="0.25">
      <c r="B573" s="3"/>
      <c r="D573" s="3"/>
    </row>
    <row r="574" spans="2:4" x14ac:dyDescent="0.25">
      <c r="B574" s="3"/>
      <c r="D574" s="3"/>
    </row>
    <row r="575" spans="2:4" x14ac:dyDescent="0.25">
      <c r="B575" s="3"/>
      <c r="D575" s="3"/>
    </row>
    <row r="576" spans="2:4" x14ac:dyDescent="0.25">
      <c r="B576" s="3"/>
      <c r="D576" s="3"/>
    </row>
    <row r="577" spans="2:4" x14ac:dyDescent="0.25">
      <c r="B577" s="3"/>
      <c r="D577" s="3"/>
    </row>
    <row r="578" spans="2:4" x14ac:dyDescent="0.25">
      <c r="B578" s="3"/>
      <c r="D578" s="3"/>
    </row>
    <row r="579" spans="2:4" x14ac:dyDescent="0.25">
      <c r="B579" s="3"/>
      <c r="D579" s="3"/>
    </row>
    <row r="580" spans="2:4" x14ac:dyDescent="0.25">
      <c r="B580" s="3"/>
      <c r="D580" s="3"/>
    </row>
    <row r="581" spans="2:4" x14ac:dyDescent="0.25">
      <c r="B581" s="3"/>
      <c r="D581" s="3"/>
    </row>
    <row r="582" spans="2:4" x14ac:dyDescent="0.25">
      <c r="B582" s="3"/>
      <c r="D582" s="3"/>
    </row>
    <row r="583" spans="2:4" x14ac:dyDescent="0.25">
      <c r="B583" s="3"/>
      <c r="D583" s="3"/>
    </row>
    <row r="584" spans="2:4" x14ac:dyDescent="0.25">
      <c r="B584" s="3"/>
      <c r="D584" s="3"/>
    </row>
    <row r="585" spans="2:4" x14ac:dyDescent="0.25">
      <c r="B585" s="3"/>
      <c r="D585" s="3"/>
    </row>
    <row r="586" spans="2:4" x14ac:dyDescent="0.25">
      <c r="B586" s="3"/>
      <c r="D586" s="3"/>
    </row>
    <row r="587" spans="2:4" x14ac:dyDescent="0.25">
      <c r="B587" s="3"/>
      <c r="D587" s="3"/>
    </row>
    <row r="588" spans="2:4" x14ac:dyDescent="0.25">
      <c r="B588" s="3"/>
      <c r="D588" s="3"/>
    </row>
    <row r="589" spans="2:4" x14ac:dyDescent="0.25">
      <c r="B589" s="3"/>
      <c r="D589" s="3"/>
    </row>
    <row r="590" spans="2:4" x14ac:dyDescent="0.25">
      <c r="B590" s="3"/>
      <c r="D590" s="3"/>
    </row>
    <row r="591" spans="2:4" x14ac:dyDescent="0.25">
      <c r="B591" s="3"/>
      <c r="D591" s="3"/>
    </row>
    <row r="592" spans="2:4" x14ac:dyDescent="0.25">
      <c r="B592" s="3"/>
      <c r="D592" s="3"/>
    </row>
    <row r="593" spans="2:4" x14ac:dyDescent="0.25">
      <c r="B593" s="3"/>
      <c r="D593" s="3"/>
    </row>
    <row r="594" spans="2:4" x14ac:dyDescent="0.25">
      <c r="B594" s="3"/>
      <c r="D594" s="3"/>
    </row>
    <row r="595" spans="2:4" x14ac:dyDescent="0.25">
      <c r="B595" s="3"/>
      <c r="D595" s="3"/>
    </row>
    <row r="596" spans="2:4" x14ac:dyDescent="0.25">
      <c r="B596" s="3"/>
      <c r="D596" s="3"/>
    </row>
    <row r="597" spans="2:4" x14ac:dyDescent="0.25">
      <c r="B597" s="3"/>
      <c r="D597" s="3"/>
    </row>
    <row r="598" spans="2:4" x14ac:dyDescent="0.25">
      <c r="B598" s="3"/>
      <c r="D598" s="3"/>
    </row>
    <row r="599" spans="2:4" x14ac:dyDescent="0.25">
      <c r="B599" s="3"/>
      <c r="D599" s="3"/>
    </row>
    <row r="600" spans="2:4" x14ac:dyDescent="0.25">
      <c r="B600" s="3"/>
      <c r="D600" s="3"/>
    </row>
    <row r="601" spans="2:4" x14ac:dyDescent="0.25">
      <c r="B601" s="3"/>
      <c r="D601" s="3"/>
    </row>
    <row r="602" spans="2:4" x14ac:dyDescent="0.25">
      <c r="B602" s="3"/>
      <c r="D602" s="3"/>
    </row>
    <row r="603" spans="2:4" x14ac:dyDescent="0.25">
      <c r="B603" s="3"/>
      <c r="D603" s="3"/>
    </row>
    <row r="604" spans="2:4" x14ac:dyDescent="0.25">
      <c r="B604" s="3"/>
      <c r="D604" s="3"/>
    </row>
    <row r="605" spans="2:4" x14ac:dyDescent="0.25">
      <c r="B605" s="3"/>
      <c r="D605" s="3"/>
    </row>
    <row r="606" spans="2:4" x14ac:dyDescent="0.25">
      <c r="B606" s="3"/>
      <c r="D606" s="3"/>
    </row>
    <row r="607" spans="2:4" x14ac:dyDescent="0.25">
      <c r="B607" s="3"/>
      <c r="D607" s="3"/>
    </row>
    <row r="608" spans="2:4" x14ac:dyDescent="0.25">
      <c r="B608" s="3"/>
      <c r="D608" s="3"/>
    </row>
    <row r="609" spans="2:4" x14ac:dyDescent="0.25">
      <c r="B609" s="3"/>
      <c r="D609" s="3"/>
    </row>
    <row r="610" spans="2:4" x14ac:dyDescent="0.25">
      <c r="B610" s="3"/>
      <c r="D610" s="3"/>
    </row>
    <row r="611" spans="2:4" x14ac:dyDescent="0.25">
      <c r="B611" s="3"/>
      <c r="D611" s="3"/>
    </row>
    <row r="612" spans="2:4" x14ac:dyDescent="0.25">
      <c r="B612" s="3"/>
      <c r="D612" s="3"/>
    </row>
    <row r="613" spans="2:4" x14ac:dyDescent="0.25">
      <c r="B613" s="3"/>
      <c r="D613" s="3"/>
    </row>
    <row r="614" spans="2:4" x14ac:dyDescent="0.25">
      <c r="B614" s="3"/>
      <c r="D614" s="3"/>
    </row>
    <row r="615" spans="2:4" x14ac:dyDescent="0.25">
      <c r="B615" s="3"/>
      <c r="D615" s="3"/>
    </row>
    <row r="616" spans="2:4" x14ac:dyDescent="0.25">
      <c r="B616" s="3"/>
      <c r="D616" s="3"/>
    </row>
    <row r="617" spans="2:4" x14ac:dyDescent="0.25">
      <c r="B617" s="3"/>
      <c r="D617" s="3"/>
    </row>
    <row r="618" spans="2:4" x14ac:dyDescent="0.25">
      <c r="B618" s="3"/>
      <c r="D618" s="3"/>
    </row>
    <row r="619" spans="2:4" x14ac:dyDescent="0.25">
      <c r="B619" s="3"/>
      <c r="D619" s="3"/>
    </row>
    <row r="620" spans="2:4" x14ac:dyDescent="0.25">
      <c r="B620" s="3"/>
      <c r="D620" s="3"/>
    </row>
    <row r="621" spans="2:4" x14ac:dyDescent="0.25">
      <c r="B621" s="3"/>
      <c r="D621" s="3"/>
    </row>
    <row r="622" spans="2:4" x14ac:dyDescent="0.25">
      <c r="B622" s="3"/>
      <c r="D622" s="3"/>
    </row>
    <row r="623" spans="2:4" x14ac:dyDescent="0.25">
      <c r="B623" s="3"/>
      <c r="D623" s="3"/>
    </row>
    <row r="624" spans="2:4" x14ac:dyDescent="0.25">
      <c r="B624" s="3"/>
      <c r="D624" s="3"/>
    </row>
    <row r="625" spans="2:4" x14ac:dyDescent="0.25">
      <c r="B625" s="3"/>
      <c r="D625" s="3"/>
    </row>
    <row r="626" spans="2:4" x14ac:dyDescent="0.25">
      <c r="B626" s="3"/>
      <c r="D626" s="3"/>
    </row>
    <row r="627" spans="2:4" x14ac:dyDescent="0.25">
      <c r="B627" s="3"/>
      <c r="D627" s="3"/>
    </row>
    <row r="628" spans="2:4" x14ac:dyDescent="0.25">
      <c r="B628" s="3"/>
      <c r="D628" s="3"/>
    </row>
    <row r="629" spans="2:4" x14ac:dyDescent="0.25">
      <c r="B629" s="3"/>
      <c r="D629" s="3"/>
    </row>
    <row r="630" spans="2:4" x14ac:dyDescent="0.25">
      <c r="B630" s="3"/>
      <c r="D630" s="3"/>
    </row>
    <row r="631" spans="2:4" x14ac:dyDescent="0.25">
      <c r="B631" s="3"/>
      <c r="D631" s="3"/>
    </row>
    <row r="632" spans="2:4" x14ac:dyDescent="0.25">
      <c r="B632" s="3"/>
      <c r="D632" s="3"/>
    </row>
    <row r="633" spans="2:4" x14ac:dyDescent="0.25">
      <c r="B633" s="3"/>
      <c r="D633" s="3"/>
    </row>
    <row r="634" spans="2:4" x14ac:dyDescent="0.25">
      <c r="B634" s="3"/>
      <c r="D634" s="3"/>
    </row>
    <row r="635" spans="2:4" x14ac:dyDescent="0.25">
      <c r="B635" s="3"/>
      <c r="D635" s="3"/>
    </row>
    <row r="636" spans="2:4" x14ac:dyDescent="0.25">
      <c r="B636" s="3"/>
      <c r="D636" s="3"/>
    </row>
    <row r="637" spans="2:4" x14ac:dyDescent="0.25">
      <c r="B637" s="3"/>
      <c r="D637" s="3"/>
    </row>
    <row r="638" spans="2:4" x14ac:dyDescent="0.25">
      <c r="B638" s="3"/>
      <c r="D638" s="3"/>
    </row>
    <row r="639" spans="2:4" x14ac:dyDescent="0.25">
      <c r="B639" s="3"/>
      <c r="D639" s="3"/>
    </row>
    <row r="640" spans="2:4" x14ac:dyDescent="0.25">
      <c r="B640" s="3"/>
      <c r="D640" s="3"/>
    </row>
    <row r="641" spans="2:4" x14ac:dyDescent="0.25">
      <c r="B641" s="3"/>
      <c r="D641" s="3"/>
    </row>
    <row r="642" spans="2:4" x14ac:dyDescent="0.25">
      <c r="B642" s="3"/>
      <c r="D642" s="3"/>
    </row>
    <row r="643" spans="2:4" x14ac:dyDescent="0.25">
      <c r="B643" s="3"/>
      <c r="D643" s="3"/>
    </row>
    <row r="644" spans="2:4" x14ac:dyDescent="0.25">
      <c r="B644" s="3"/>
      <c r="D644" s="3"/>
    </row>
    <row r="645" spans="2:4" x14ac:dyDescent="0.25">
      <c r="B645" s="3"/>
      <c r="D645" s="3"/>
    </row>
    <row r="646" spans="2:4" x14ac:dyDescent="0.25">
      <c r="B646" s="3"/>
      <c r="D646" s="3"/>
    </row>
    <row r="647" spans="2:4" x14ac:dyDescent="0.25">
      <c r="B647" s="3"/>
      <c r="D647" s="3"/>
    </row>
    <row r="648" spans="2:4" x14ac:dyDescent="0.25">
      <c r="B648" s="3"/>
      <c r="D648" s="3"/>
    </row>
    <row r="649" spans="2:4" x14ac:dyDescent="0.25">
      <c r="B649" s="3"/>
      <c r="D649" s="3"/>
    </row>
    <row r="650" spans="2:4" x14ac:dyDescent="0.25">
      <c r="B650" s="3"/>
      <c r="D650" s="3"/>
    </row>
    <row r="651" spans="2:4" x14ac:dyDescent="0.25">
      <c r="B651" s="3"/>
      <c r="D651" s="3"/>
    </row>
    <row r="652" spans="2:4" x14ac:dyDescent="0.25">
      <c r="B652" s="3"/>
      <c r="D652" s="3"/>
    </row>
    <row r="653" spans="2:4" x14ac:dyDescent="0.25">
      <c r="B653" s="3"/>
      <c r="D653" s="3"/>
    </row>
    <row r="654" spans="2:4" x14ac:dyDescent="0.25">
      <c r="B654" s="3"/>
      <c r="D654" s="3"/>
    </row>
    <row r="655" spans="2:4" x14ac:dyDescent="0.25">
      <c r="B655" s="3"/>
      <c r="D655" s="3"/>
    </row>
    <row r="656" spans="2:4" x14ac:dyDescent="0.25">
      <c r="B656" s="3"/>
      <c r="D656" s="3"/>
    </row>
    <row r="657" spans="2:4" x14ac:dyDescent="0.25">
      <c r="B657" s="3"/>
      <c r="D657" s="3"/>
    </row>
    <row r="658" spans="2:4" x14ac:dyDescent="0.25">
      <c r="B658" s="3"/>
      <c r="D658" s="3"/>
    </row>
    <row r="659" spans="2:4" x14ac:dyDescent="0.25">
      <c r="B659" s="3"/>
      <c r="D659" s="3"/>
    </row>
    <row r="660" spans="2:4" x14ac:dyDescent="0.25">
      <c r="B660" s="3"/>
      <c r="D660" s="3"/>
    </row>
    <row r="661" spans="2:4" x14ac:dyDescent="0.25">
      <c r="B661" s="3"/>
      <c r="D661" s="3"/>
    </row>
    <row r="662" spans="2:4" x14ac:dyDescent="0.25">
      <c r="B662" s="3"/>
      <c r="D662" s="3"/>
    </row>
    <row r="663" spans="2:4" x14ac:dyDescent="0.25">
      <c r="B663" s="3"/>
      <c r="D663" s="3"/>
    </row>
    <row r="664" spans="2:4" x14ac:dyDescent="0.25">
      <c r="B664" s="3"/>
      <c r="D664" s="3"/>
    </row>
    <row r="665" spans="2:4" x14ac:dyDescent="0.25">
      <c r="B665" s="3"/>
      <c r="D665" s="3"/>
    </row>
    <row r="666" spans="2:4" x14ac:dyDescent="0.25">
      <c r="B666" s="3"/>
      <c r="D666" s="3"/>
    </row>
    <row r="667" spans="2:4" x14ac:dyDescent="0.25">
      <c r="B667" s="3"/>
      <c r="D667" s="3"/>
    </row>
    <row r="668" spans="2:4" x14ac:dyDescent="0.25">
      <c r="B668" s="3"/>
      <c r="D668" s="3"/>
    </row>
    <row r="669" spans="2:4" x14ac:dyDescent="0.25">
      <c r="B669" s="3"/>
      <c r="D669" s="3"/>
    </row>
    <row r="670" spans="2:4" x14ac:dyDescent="0.25">
      <c r="B670" s="3"/>
      <c r="D670" s="3"/>
    </row>
    <row r="671" spans="2:4" x14ac:dyDescent="0.25">
      <c r="B671" s="3"/>
      <c r="D671" s="3"/>
    </row>
    <row r="672" spans="2:4" x14ac:dyDescent="0.25">
      <c r="B672" s="3"/>
      <c r="D672" s="3"/>
    </row>
    <row r="673" spans="2:4" x14ac:dyDescent="0.25">
      <c r="B673" s="3"/>
      <c r="D673" s="3"/>
    </row>
    <row r="674" spans="2:4" x14ac:dyDescent="0.25">
      <c r="B674" s="3"/>
      <c r="D674" s="3"/>
    </row>
    <row r="675" spans="2:4" x14ac:dyDescent="0.25">
      <c r="B675" s="3"/>
      <c r="D675" s="3"/>
    </row>
    <row r="676" spans="2:4" x14ac:dyDescent="0.25">
      <c r="B676" s="3"/>
      <c r="D676" s="3"/>
    </row>
    <row r="677" spans="2:4" x14ac:dyDescent="0.25">
      <c r="B677" s="3"/>
      <c r="D677" s="3"/>
    </row>
    <row r="678" spans="2:4" x14ac:dyDescent="0.25">
      <c r="B678" s="3"/>
      <c r="D678" s="3"/>
    </row>
    <row r="679" spans="2:4" x14ac:dyDescent="0.25">
      <c r="B679" s="3"/>
      <c r="D679" s="3"/>
    </row>
    <row r="680" spans="2:4" x14ac:dyDescent="0.25">
      <c r="B680" s="3"/>
      <c r="D680" s="3"/>
    </row>
    <row r="681" spans="2:4" x14ac:dyDescent="0.25">
      <c r="B681" s="3"/>
      <c r="D681" s="3"/>
    </row>
    <row r="682" spans="2:4" x14ac:dyDescent="0.25">
      <c r="B682" s="3"/>
      <c r="D682" s="3"/>
    </row>
    <row r="683" spans="2:4" x14ac:dyDescent="0.25">
      <c r="B683" s="3"/>
      <c r="D683" s="3"/>
    </row>
    <row r="684" spans="2:4" x14ac:dyDescent="0.25">
      <c r="B684" s="3"/>
      <c r="D684" s="3"/>
    </row>
    <row r="685" spans="2:4" x14ac:dyDescent="0.25">
      <c r="B685" s="3"/>
      <c r="D685" s="3"/>
    </row>
    <row r="686" spans="2:4" x14ac:dyDescent="0.25">
      <c r="B686" s="3"/>
      <c r="D686" s="3"/>
    </row>
    <row r="687" spans="2:4" x14ac:dyDescent="0.25">
      <c r="B687" s="3"/>
      <c r="D687" s="3"/>
    </row>
    <row r="688" spans="2:4" x14ac:dyDescent="0.25">
      <c r="B688" s="3"/>
      <c r="D688" s="3"/>
    </row>
    <row r="689" spans="2:4" x14ac:dyDescent="0.25">
      <c r="B689" s="3"/>
      <c r="D689" s="3"/>
    </row>
    <row r="690" spans="2:4" x14ac:dyDescent="0.25">
      <c r="B690" s="3"/>
      <c r="D690" s="3"/>
    </row>
    <row r="691" spans="2:4" x14ac:dyDescent="0.25">
      <c r="B691" s="3"/>
      <c r="D691" s="3"/>
    </row>
    <row r="692" spans="2:4" x14ac:dyDescent="0.25">
      <c r="B692" s="3"/>
      <c r="D692" s="3"/>
    </row>
    <row r="693" spans="2:4" x14ac:dyDescent="0.25">
      <c r="B693" s="3"/>
      <c r="D693" s="3"/>
    </row>
    <row r="694" spans="2:4" x14ac:dyDescent="0.25">
      <c r="B694" s="3"/>
      <c r="D694" s="3"/>
    </row>
    <row r="695" spans="2:4" x14ac:dyDescent="0.25">
      <c r="B695" s="3"/>
      <c r="D695" s="3"/>
    </row>
    <row r="696" spans="2:4" x14ac:dyDescent="0.25">
      <c r="B696" s="3"/>
      <c r="D696" s="3"/>
    </row>
    <row r="697" spans="2:4" x14ac:dyDescent="0.25">
      <c r="B697" s="3"/>
      <c r="D697" s="3"/>
    </row>
    <row r="698" spans="2:4" x14ac:dyDescent="0.25">
      <c r="B698" s="3"/>
      <c r="D698" s="3"/>
    </row>
    <row r="699" spans="2:4" x14ac:dyDescent="0.25">
      <c r="B699" s="3"/>
      <c r="D699" s="3"/>
    </row>
    <row r="700" spans="2:4" x14ac:dyDescent="0.25">
      <c r="B700" s="3"/>
      <c r="D700" s="3"/>
    </row>
    <row r="701" spans="2:4" x14ac:dyDescent="0.25">
      <c r="B701" s="3"/>
      <c r="D701" s="3"/>
    </row>
    <row r="702" spans="2:4" x14ac:dyDescent="0.25">
      <c r="B702" s="3"/>
      <c r="D702" s="3"/>
    </row>
    <row r="703" spans="2:4" x14ac:dyDescent="0.25">
      <c r="B703" s="3"/>
      <c r="D703" s="3"/>
    </row>
    <row r="704" spans="2:4" x14ac:dyDescent="0.25">
      <c r="B704" s="3"/>
      <c r="D704" s="3"/>
    </row>
    <row r="705" spans="2:4" x14ac:dyDescent="0.25">
      <c r="B705" s="3"/>
      <c r="D705" s="3"/>
    </row>
    <row r="706" spans="2:4" x14ac:dyDescent="0.25">
      <c r="B706" s="3"/>
      <c r="D706" s="3"/>
    </row>
    <row r="707" spans="2:4" x14ac:dyDescent="0.25">
      <c r="B707" s="3"/>
      <c r="D707" s="3"/>
    </row>
    <row r="708" spans="2:4" x14ac:dyDescent="0.25">
      <c r="B708" s="3"/>
      <c r="D708" s="3"/>
    </row>
    <row r="709" spans="2:4" x14ac:dyDescent="0.25">
      <c r="B709" s="3"/>
      <c r="D709" s="3"/>
    </row>
    <row r="710" spans="2:4" x14ac:dyDescent="0.25">
      <c r="B710" s="3"/>
      <c r="D710" s="3"/>
    </row>
    <row r="711" spans="2:4" x14ac:dyDescent="0.25">
      <c r="B711" s="3"/>
      <c r="D711" s="3"/>
    </row>
    <row r="712" spans="2:4" x14ac:dyDescent="0.25">
      <c r="B712" s="3"/>
      <c r="D712" s="3"/>
    </row>
    <row r="713" spans="2:4" x14ac:dyDescent="0.25">
      <c r="B713" s="3"/>
      <c r="D713" s="3"/>
    </row>
    <row r="714" spans="2:4" x14ac:dyDescent="0.25">
      <c r="B714" s="3"/>
      <c r="D714" s="3"/>
    </row>
    <row r="715" spans="2:4" x14ac:dyDescent="0.25">
      <c r="B715" s="3"/>
      <c r="D715" s="3"/>
    </row>
    <row r="716" spans="2:4" x14ac:dyDescent="0.25">
      <c r="B716" s="3"/>
      <c r="D716" s="3"/>
    </row>
    <row r="717" spans="2:4" x14ac:dyDescent="0.25">
      <c r="B717" s="3"/>
      <c r="D717" s="3"/>
    </row>
    <row r="718" spans="2:4" x14ac:dyDescent="0.25">
      <c r="B718" s="3"/>
      <c r="D718" s="3"/>
    </row>
    <row r="719" spans="2:4" x14ac:dyDescent="0.25">
      <c r="B719" s="3"/>
      <c r="D719" s="3"/>
    </row>
    <row r="720" spans="2:4" x14ac:dyDescent="0.25">
      <c r="B720" s="3"/>
      <c r="D720" s="3"/>
    </row>
    <row r="721" spans="2:4" x14ac:dyDescent="0.25">
      <c r="B721" s="3"/>
      <c r="D721" s="3"/>
    </row>
    <row r="722" spans="2:4" x14ac:dyDescent="0.25">
      <c r="B722" s="3"/>
      <c r="D722" s="3"/>
    </row>
    <row r="723" spans="2:4" x14ac:dyDescent="0.25">
      <c r="B723" s="3"/>
      <c r="D723" s="3"/>
    </row>
    <row r="724" spans="2:4" x14ac:dyDescent="0.25">
      <c r="B724" s="3"/>
      <c r="D724" s="3"/>
    </row>
    <row r="725" spans="2:4" x14ac:dyDescent="0.25">
      <c r="B725" s="3"/>
      <c r="D725" s="3"/>
    </row>
    <row r="726" spans="2:4" x14ac:dyDescent="0.25">
      <c r="B726" s="3"/>
      <c r="D726" s="3"/>
    </row>
    <row r="727" spans="2:4" x14ac:dyDescent="0.25">
      <c r="B727" s="3"/>
      <c r="D727" s="3"/>
    </row>
    <row r="728" spans="2:4" x14ac:dyDescent="0.25">
      <c r="B728" s="3"/>
      <c r="D728" s="3"/>
    </row>
    <row r="729" spans="2:4" x14ac:dyDescent="0.25">
      <c r="B729" s="3"/>
      <c r="D729" s="3"/>
    </row>
    <row r="730" spans="2:4" x14ac:dyDescent="0.25">
      <c r="B730" s="3"/>
      <c r="D730" s="3"/>
    </row>
    <row r="731" spans="2:4" x14ac:dyDescent="0.25">
      <c r="B731" s="3"/>
      <c r="D731" s="3"/>
    </row>
    <row r="732" spans="2:4" x14ac:dyDescent="0.25">
      <c r="B732" s="3"/>
      <c r="D732" s="3"/>
    </row>
    <row r="733" spans="2:4" x14ac:dyDescent="0.25">
      <c r="B733" s="3"/>
      <c r="D733" s="3"/>
    </row>
    <row r="734" spans="2:4" x14ac:dyDescent="0.25">
      <c r="B734" s="3"/>
      <c r="D734" s="3"/>
    </row>
    <row r="735" spans="2:4" x14ac:dyDescent="0.25">
      <c r="B735" s="3"/>
      <c r="D735" s="3"/>
    </row>
    <row r="736" spans="2:4" x14ac:dyDescent="0.25">
      <c r="B736" s="3"/>
      <c r="D736" s="3"/>
    </row>
    <row r="737" spans="2:4" x14ac:dyDescent="0.25">
      <c r="B737" s="3"/>
      <c r="D737" s="3"/>
    </row>
    <row r="738" spans="2:4" x14ac:dyDescent="0.25">
      <c r="B738" s="3"/>
      <c r="D738" s="3"/>
    </row>
    <row r="739" spans="2:4" x14ac:dyDescent="0.25">
      <c r="B739" s="3"/>
      <c r="D739" s="3"/>
    </row>
    <row r="740" spans="2:4" x14ac:dyDescent="0.25">
      <c r="B740" s="3"/>
      <c r="D740" s="3"/>
    </row>
    <row r="741" spans="2:4" x14ac:dyDescent="0.25">
      <c r="B741" s="3"/>
      <c r="D741" s="3"/>
    </row>
    <row r="742" spans="2:4" x14ac:dyDescent="0.25">
      <c r="B742" s="3"/>
      <c r="D742" s="3"/>
    </row>
    <row r="743" spans="2:4" x14ac:dyDescent="0.25">
      <c r="B743" s="3"/>
      <c r="D743" s="3"/>
    </row>
    <row r="744" spans="2:4" x14ac:dyDescent="0.25">
      <c r="B744" s="3"/>
      <c r="D744" s="3"/>
    </row>
    <row r="745" spans="2:4" x14ac:dyDescent="0.25">
      <c r="B745" s="3"/>
      <c r="D745" s="3"/>
    </row>
    <row r="746" spans="2:4" x14ac:dyDescent="0.25">
      <c r="B746" s="3"/>
      <c r="D746" s="3"/>
    </row>
    <row r="747" spans="2:4" x14ac:dyDescent="0.25">
      <c r="B747" s="3"/>
      <c r="D747" s="3"/>
    </row>
    <row r="748" spans="2:4" x14ac:dyDescent="0.25">
      <c r="B748" s="3"/>
      <c r="D748" s="3"/>
    </row>
    <row r="749" spans="2:4" x14ac:dyDescent="0.25">
      <c r="B749" s="3"/>
      <c r="D749" s="3"/>
    </row>
    <row r="750" spans="2:4" x14ac:dyDescent="0.25">
      <c r="B750" s="3"/>
      <c r="D750" s="3"/>
    </row>
    <row r="751" spans="2:4" x14ac:dyDescent="0.25">
      <c r="B751" s="3"/>
      <c r="D751" s="3"/>
    </row>
    <row r="752" spans="2:4" x14ac:dyDescent="0.25">
      <c r="B752" s="3"/>
      <c r="D752" s="3"/>
    </row>
    <row r="753" spans="2:4" x14ac:dyDescent="0.25">
      <c r="B753" s="3"/>
      <c r="D753" s="3"/>
    </row>
    <row r="754" spans="2:4" x14ac:dyDescent="0.25">
      <c r="B754" s="3"/>
      <c r="D754" s="3"/>
    </row>
    <row r="755" spans="2:4" x14ac:dyDescent="0.25">
      <c r="B755" s="3"/>
      <c r="D755" s="3"/>
    </row>
    <row r="756" spans="2:4" x14ac:dyDescent="0.25">
      <c r="B756" s="3"/>
      <c r="D756" s="3"/>
    </row>
    <row r="757" spans="2:4" x14ac:dyDescent="0.25">
      <c r="B757" s="3"/>
      <c r="D757" s="3"/>
    </row>
    <row r="758" spans="2:4" x14ac:dyDescent="0.25">
      <c r="B758" s="3"/>
      <c r="D758" s="3"/>
    </row>
    <row r="759" spans="2:4" x14ac:dyDescent="0.25">
      <c r="B759" s="3"/>
      <c r="D759" s="3"/>
    </row>
    <row r="760" spans="2:4" x14ac:dyDescent="0.25">
      <c r="B760" s="3"/>
      <c r="D760" s="3"/>
    </row>
    <row r="761" spans="2:4" x14ac:dyDescent="0.25">
      <c r="B761" s="3"/>
      <c r="D761" s="3"/>
    </row>
    <row r="762" spans="2:4" x14ac:dyDescent="0.25">
      <c r="B762" s="3"/>
      <c r="D762" s="3"/>
    </row>
    <row r="763" spans="2:4" x14ac:dyDescent="0.25">
      <c r="B763" s="3"/>
      <c r="D763" s="3"/>
    </row>
    <row r="764" spans="2:4" x14ac:dyDescent="0.25">
      <c r="B764" s="3"/>
      <c r="D764" s="3"/>
    </row>
    <row r="765" spans="2:4" x14ac:dyDescent="0.25">
      <c r="B765" s="3"/>
      <c r="D765" s="3"/>
    </row>
    <row r="766" spans="2:4" x14ac:dyDescent="0.25">
      <c r="B766" s="3"/>
      <c r="D766" s="3"/>
    </row>
    <row r="767" spans="2:4" x14ac:dyDescent="0.25">
      <c r="B767" s="3"/>
      <c r="D767" s="3"/>
    </row>
    <row r="768" spans="2:4" x14ac:dyDescent="0.25">
      <c r="B768" s="3"/>
      <c r="D768" s="3"/>
    </row>
    <row r="769" spans="2:4" x14ac:dyDescent="0.25">
      <c r="B769" s="3"/>
      <c r="D769" s="3"/>
    </row>
    <row r="770" spans="2:4" x14ac:dyDescent="0.25">
      <c r="B770" s="3"/>
      <c r="D770" s="3"/>
    </row>
    <row r="771" spans="2:4" x14ac:dyDescent="0.25">
      <c r="B771" s="3"/>
      <c r="D771" s="3"/>
    </row>
    <row r="772" spans="2:4" x14ac:dyDescent="0.25">
      <c r="B772" s="3"/>
      <c r="D772" s="3"/>
    </row>
    <row r="773" spans="2:4" x14ac:dyDescent="0.25">
      <c r="B773" s="3"/>
      <c r="D773" s="3"/>
    </row>
    <row r="774" spans="2:4" x14ac:dyDescent="0.25">
      <c r="B774" s="3"/>
      <c r="D774" s="3"/>
    </row>
    <row r="775" spans="2:4" x14ac:dyDescent="0.25">
      <c r="B775" s="3"/>
      <c r="D775" s="3"/>
    </row>
    <row r="776" spans="2:4" x14ac:dyDescent="0.25">
      <c r="B776" s="3"/>
      <c r="D776" s="3"/>
    </row>
    <row r="777" spans="2:4" x14ac:dyDescent="0.25">
      <c r="B777" s="3"/>
      <c r="D777" s="3"/>
    </row>
    <row r="778" spans="2:4" x14ac:dyDescent="0.25">
      <c r="B778" s="3"/>
      <c r="D778" s="3"/>
    </row>
    <row r="779" spans="2:4" x14ac:dyDescent="0.25">
      <c r="B779" s="3"/>
      <c r="D779" s="3"/>
    </row>
    <row r="780" spans="2:4" x14ac:dyDescent="0.25">
      <c r="B780" s="3"/>
      <c r="D780" s="3"/>
    </row>
    <row r="781" spans="2:4" x14ac:dyDescent="0.25">
      <c r="B781" s="3"/>
      <c r="D781" s="3"/>
    </row>
    <row r="782" spans="2:4" x14ac:dyDescent="0.25">
      <c r="B782" s="3"/>
      <c r="D782" s="3"/>
    </row>
    <row r="783" spans="2:4" x14ac:dyDescent="0.25">
      <c r="B783" s="3"/>
      <c r="D783" s="3"/>
    </row>
    <row r="784" spans="2:4" x14ac:dyDescent="0.25">
      <c r="B784" s="3"/>
      <c r="D784" s="3"/>
    </row>
    <row r="785" spans="2:4" x14ac:dyDescent="0.25">
      <c r="B785" s="3"/>
      <c r="D785" s="3"/>
    </row>
    <row r="786" spans="2:4" x14ac:dyDescent="0.25">
      <c r="B786" s="3"/>
      <c r="D786" s="3"/>
    </row>
    <row r="787" spans="2:4" x14ac:dyDescent="0.25">
      <c r="B787" s="3"/>
      <c r="D787" s="3"/>
    </row>
    <row r="788" spans="2:4" x14ac:dyDescent="0.25">
      <c r="B788" s="3"/>
      <c r="D788" s="3"/>
    </row>
    <row r="789" spans="2:4" x14ac:dyDescent="0.25">
      <c r="B789" s="3"/>
      <c r="D789" s="3"/>
    </row>
    <row r="790" spans="2:4" x14ac:dyDescent="0.25">
      <c r="B790" s="3"/>
      <c r="D790" s="3"/>
    </row>
    <row r="791" spans="2:4" x14ac:dyDescent="0.25">
      <c r="B791" s="3"/>
      <c r="D791" s="3"/>
    </row>
    <row r="792" spans="2:4" x14ac:dyDescent="0.25">
      <c r="B792" s="3"/>
      <c r="D792" s="3"/>
    </row>
    <row r="793" spans="2:4" x14ac:dyDescent="0.25">
      <c r="B793" s="3"/>
      <c r="D793" s="3"/>
    </row>
    <row r="794" spans="2:4" x14ac:dyDescent="0.25">
      <c r="B794" s="3"/>
      <c r="D794" s="3"/>
    </row>
    <row r="795" spans="2:4" x14ac:dyDescent="0.25">
      <c r="B795" s="3"/>
      <c r="D795" s="3"/>
    </row>
    <row r="796" spans="2:4" x14ac:dyDescent="0.25">
      <c r="B796" s="3"/>
      <c r="D796" s="3"/>
    </row>
    <row r="797" spans="2:4" x14ac:dyDescent="0.25">
      <c r="B797" s="3"/>
      <c r="D797" s="3"/>
    </row>
    <row r="798" spans="2:4" x14ac:dyDescent="0.25">
      <c r="B798" s="3"/>
      <c r="D798" s="3"/>
    </row>
    <row r="799" spans="2:4" x14ac:dyDescent="0.25">
      <c r="B799" s="3"/>
      <c r="D799" s="3"/>
    </row>
    <row r="800" spans="2:4" x14ac:dyDescent="0.25">
      <c r="B800" s="3"/>
      <c r="D800" s="3"/>
    </row>
    <row r="801" spans="2:4" x14ac:dyDescent="0.25">
      <c r="B801" s="3"/>
      <c r="D801" s="3"/>
    </row>
    <row r="802" spans="2:4" x14ac:dyDescent="0.25">
      <c r="B802" s="3"/>
      <c r="D802" s="3"/>
    </row>
    <row r="803" spans="2:4" x14ac:dyDescent="0.25">
      <c r="B803" s="3"/>
      <c r="D803" s="3"/>
    </row>
    <row r="804" spans="2:4" x14ac:dyDescent="0.25">
      <c r="B804" s="3"/>
      <c r="D804" s="3"/>
    </row>
    <row r="805" spans="2:4" x14ac:dyDescent="0.25">
      <c r="B805" s="3"/>
      <c r="D805" s="3"/>
    </row>
    <row r="806" spans="2:4" x14ac:dyDescent="0.25">
      <c r="B806" s="3"/>
      <c r="D806" s="3"/>
    </row>
    <row r="807" spans="2:4" x14ac:dyDescent="0.25">
      <c r="B807" s="3"/>
      <c r="D807" s="3"/>
    </row>
    <row r="808" spans="2:4" x14ac:dyDescent="0.25">
      <c r="B808" s="3"/>
      <c r="D808" s="3"/>
    </row>
    <row r="809" spans="2:4" x14ac:dyDescent="0.25">
      <c r="B809" s="3"/>
      <c r="D809" s="3"/>
    </row>
    <row r="810" spans="2:4" x14ac:dyDescent="0.25">
      <c r="B810" s="3"/>
      <c r="D810" s="3"/>
    </row>
    <row r="811" spans="2:4" x14ac:dyDescent="0.25">
      <c r="B811" s="3"/>
      <c r="D811" s="3"/>
    </row>
    <row r="812" spans="2:4" x14ac:dyDescent="0.25">
      <c r="B812" s="3"/>
      <c r="D812" s="3"/>
    </row>
    <row r="813" spans="2:4" x14ac:dyDescent="0.25">
      <c r="B813" s="3"/>
      <c r="D813" s="3"/>
    </row>
    <row r="814" spans="2:4" x14ac:dyDescent="0.25">
      <c r="B814" s="3"/>
      <c r="D814" s="3"/>
    </row>
    <row r="815" spans="2:4" x14ac:dyDescent="0.25">
      <c r="B815" s="3"/>
      <c r="D815" s="3"/>
    </row>
    <row r="816" spans="2:4" x14ac:dyDescent="0.25">
      <c r="B816" s="3"/>
      <c r="D816" s="3"/>
    </row>
    <row r="817" spans="2:4" x14ac:dyDescent="0.25">
      <c r="B817" s="3"/>
      <c r="D817" s="3"/>
    </row>
    <row r="818" spans="2:4" x14ac:dyDescent="0.25">
      <c r="B818" s="3"/>
      <c r="D818" s="3"/>
    </row>
    <row r="819" spans="2:4" x14ac:dyDescent="0.25">
      <c r="B819" s="3"/>
      <c r="D819" s="3"/>
    </row>
    <row r="820" spans="2:4" x14ac:dyDescent="0.25">
      <c r="B820" s="3"/>
      <c r="D820" s="3"/>
    </row>
    <row r="821" spans="2:4" x14ac:dyDescent="0.25">
      <c r="B821" s="3"/>
      <c r="D821" s="3"/>
    </row>
    <row r="822" spans="2:4" x14ac:dyDescent="0.25">
      <c r="B822" s="3"/>
      <c r="D822" s="3"/>
    </row>
    <row r="823" spans="2:4" x14ac:dyDescent="0.25">
      <c r="B823" s="3"/>
      <c r="D823" s="3"/>
    </row>
    <row r="824" spans="2:4" x14ac:dyDescent="0.25">
      <c r="B824" s="3"/>
      <c r="D824" s="3"/>
    </row>
    <row r="825" spans="2:4" x14ac:dyDescent="0.25">
      <c r="B825" s="3"/>
      <c r="D825" s="3"/>
    </row>
    <row r="826" spans="2:4" x14ac:dyDescent="0.25">
      <c r="B826" s="3"/>
      <c r="D826" s="3"/>
    </row>
    <row r="827" spans="2:4" x14ac:dyDescent="0.25">
      <c r="B827" s="3"/>
      <c r="D827" s="3"/>
    </row>
    <row r="828" spans="2:4" x14ac:dyDescent="0.25">
      <c r="B828" s="3"/>
      <c r="D828" s="3"/>
    </row>
    <row r="829" spans="2:4" x14ac:dyDescent="0.25">
      <c r="B829" s="3"/>
      <c r="D829" s="3"/>
    </row>
    <row r="830" spans="2:4" x14ac:dyDescent="0.25">
      <c r="B830" s="3"/>
      <c r="D830" s="3"/>
    </row>
    <row r="831" spans="2:4" x14ac:dyDescent="0.25">
      <c r="B831" s="3"/>
      <c r="D831" s="3"/>
    </row>
    <row r="832" spans="2:4" x14ac:dyDescent="0.25">
      <c r="B832" s="3"/>
      <c r="D832" s="3"/>
    </row>
    <row r="833" spans="2:4" x14ac:dyDescent="0.25">
      <c r="B833" s="3"/>
      <c r="D833" s="3"/>
    </row>
    <row r="834" spans="2:4" x14ac:dyDescent="0.25">
      <c r="B834" s="3"/>
      <c r="D834" s="3"/>
    </row>
    <row r="835" spans="2:4" x14ac:dyDescent="0.25">
      <c r="B835" s="3"/>
      <c r="D835" s="3"/>
    </row>
    <row r="836" spans="2:4" x14ac:dyDescent="0.25">
      <c r="B836" s="3"/>
      <c r="D836" s="3"/>
    </row>
    <row r="837" spans="2:4" x14ac:dyDescent="0.25">
      <c r="B837" s="3"/>
      <c r="D837" s="3"/>
    </row>
    <row r="838" spans="2:4" x14ac:dyDescent="0.25">
      <c r="B838" s="3"/>
      <c r="D838" s="3"/>
    </row>
    <row r="839" spans="2:4" x14ac:dyDescent="0.25">
      <c r="B839" s="3"/>
      <c r="D839" s="3"/>
    </row>
    <row r="840" spans="2:4" x14ac:dyDescent="0.25">
      <c r="B840" s="3"/>
      <c r="D840" s="3"/>
    </row>
    <row r="841" spans="2:4" x14ac:dyDescent="0.25">
      <c r="B841" s="3"/>
      <c r="D841" s="3"/>
    </row>
    <row r="842" spans="2:4" x14ac:dyDescent="0.25">
      <c r="B842" s="3"/>
      <c r="D842" s="3"/>
    </row>
    <row r="843" spans="2:4" x14ac:dyDescent="0.25">
      <c r="B843" s="3"/>
      <c r="D843" s="3"/>
    </row>
    <row r="844" spans="2:4" x14ac:dyDescent="0.25">
      <c r="B844" s="3"/>
      <c r="D844" s="3"/>
    </row>
    <row r="845" spans="2:4" x14ac:dyDescent="0.25">
      <c r="B845" s="3"/>
      <c r="D845" s="3"/>
    </row>
    <row r="846" spans="2:4" x14ac:dyDescent="0.25">
      <c r="B846" s="3"/>
      <c r="D846" s="3"/>
    </row>
    <row r="847" spans="2:4" x14ac:dyDescent="0.25">
      <c r="B847" s="3"/>
      <c r="D847" s="3"/>
    </row>
    <row r="848" spans="2:4" x14ac:dyDescent="0.25">
      <c r="B848" s="3"/>
      <c r="D848" s="3"/>
    </row>
    <row r="849" spans="2:4" x14ac:dyDescent="0.25">
      <c r="B849" s="3"/>
      <c r="D849" s="3"/>
    </row>
    <row r="850" spans="2:4" x14ac:dyDescent="0.25">
      <c r="B850" s="3"/>
      <c r="D850" s="3"/>
    </row>
    <row r="851" spans="2:4" x14ac:dyDescent="0.25">
      <c r="B851" s="3"/>
      <c r="D851" s="3"/>
    </row>
    <row r="852" spans="2:4" x14ac:dyDescent="0.25">
      <c r="B852" s="3"/>
      <c r="D852" s="3"/>
    </row>
    <row r="853" spans="2:4" x14ac:dyDescent="0.25">
      <c r="B853" s="3"/>
      <c r="D853" s="3"/>
    </row>
    <row r="854" spans="2:4" x14ac:dyDescent="0.25">
      <c r="B854" s="3"/>
      <c r="D854" s="3"/>
    </row>
    <row r="855" spans="2:4" x14ac:dyDescent="0.25">
      <c r="B855" s="3"/>
      <c r="D855" s="3"/>
    </row>
    <row r="856" spans="2:4" x14ac:dyDescent="0.25">
      <c r="B856" s="3"/>
      <c r="D856" s="3"/>
    </row>
    <row r="857" spans="2:4" x14ac:dyDescent="0.25">
      <c r="B857" s="3"/>
      <c r="D857" s="3"/>
    </row>
    <row r="858" spans="2:4" x14ac:dyDescent="0.25">
      <c r="B858" s="3"/>
      <c r="D858" s="3"/>
    </row>
    <row r="859" spans="2:4" x14ac:dyDescent="0.25">
      <c r="B859" s="3"/>
      <c r="D859" s="3"/>
    </row>
    <row r="860" spans="2:4" x14ac:dyDescent="0.25">
      <c r="B860" s="3"/>
      <c r="D860" s="3"/>
    </row>
    <row r="861" spans="2:4" x14ac:dyDescent="0.25">
      <c r="B861" s="3"/>
      <c r="D861" s="3"/>
    </row>
    <row r="862" spans="2:4" x14ac:dyDescent="0.25">
      <c r="B862" s="3"/>
      <c r="D862" s="3"/>
    </row>
    <row r="863" spans="2:4" x14ac:dyDescent="0.25">
      <c r="B863" s="3"/>
      <c r="D863" s="3"/>
    </row>
    <row r="864" spans="2:4" x14ac:dyDescent="0.25">
      <c r="B864" s="3"/>
      <c r="D864" s="3"/>
    </row>
    <row r="865" spans="2:4" x14ac:dyDescent="0.25">
      <c r="B865" s="3"/>
      <c r="D865" s="3"/>
    </row>
    <row r="866" spans="2:4" x14ac:dyDescent="0.25">
      <c r="B866" s="3"/>
      <c r="D866" s="3"/>
    </row>
    <row r="867" spans="2:4" x14ac:dyDescent="0.25">
      <c r="B867" s="3"/>
      <c r="D867" s="3"/>
    </row>
    <row r="868" spans="2:4" x14ac:dyDescent="0.25">
      <c r="B868" s="3"/>
      <c r="D868" s="3"/>
    </row>
    <row r="869" spans="2:4" x14ac:dyDescent="0.25">
      <c r="B869" s="3"/>
      <c r="D869" s="3"/>
    </row>
    <row r="870" spans="2:4" x14ac:dyDescent="0.25">
      <c r="B870" s="3"/>
      <c r="D870" s="3"/>
    </row>
    <row r="871" spans="2:4" x14ac:dyDescent="0.25">
      <c r="B871" s="3"/>
      <c r="D871" s="3"/>
    </row>
    <row r="872" spans="2:4" x14ac:dyDescent="0.25">
      <c r="B872" s="3"/>
      <c r="D872" s="3"/>
    </row>
    <row r="873" spans="2:4" x14ac:dyDescent="0.25">
      <c r="B873" s="3"/>
      <c r="D873" s="3"/>
    </row>
    <row r="874" spans="2:4" x14ac:dyDescent="0.25">
      <c r="B874" s="3"/>
      <c r="D874" s="3"/>
    </row>
    <row r="875" spans="2:4" x14ac:dyDescent="0.25">
      <c r="B875" s="3"/>
      <c r="D875" s="3"/>
    </row>
    <row r="876" spans="2:4" x14ac:dyDescent="0.25">
      <c r="B876" s="3"/>
      <c r="D876" s="3"/>
    </row>
    <row r="877" spans="2:4" x14ac:dyDescent="0.25">
      <c r="B877" s="3"/>
      <c r="D877" s="3"/>
    </row>
    <row r="878" spans="2:4" x14ac:dyDescent="0.25">
      <c r="B878" s="3"/>
      <c r="D878" s="3"/>
    </row>
    <row r="879" spans="2:4" x14ac:dyDescent="0.25">
      <c r="B879" s="3"/>
      <c r="D879" s="3"/>
    </row>
    <row r="880" spans="2:4" x14ac:dyDescent="0.25">
      <c r="B880" s="3"/>
      <c r="D880" s="3"/>
    </row>
    <row r="881" spans="2:4" x14ac:dyDescent="0.25">
      <c r="B881" s="3"/>
      <c r="D881" s="3"/>
    </row>
    <row r="882" spans="2:4" x14ac:dyDescent="0.25">
      <c r="B882" s="3"/>
      <c r="D882" s="3"/>
    </row>
    <row r="883" spans="2:4" x14ac:dyDescent="0.25">
      <c r="B883" s="3"/>
      <c r="D883" s="3"/>
    </row>
    <row r="884" spans="2:4" x14ac:dyDescent="0.25">
      <c r="B884" s="3"/>
      <c r="D884" s="3"/>
    </row>
    <row r="885" spans="2:4" x14ac:dyDescent="0.25">
      <c r="B885" s="3"/>
      <c r="D885" s="3"/>
    </row>
    <row r="886" spans="2:4" x14ac:dyDescent="0.25">
      <c r="B886" s="3"/>
      <c r="D886" s="3"/>
    </row>
    <row r="887" spans="2:4" x14ac:dyDescent="0.25">
      <c r="B887" s="3"/>
      <c r="D887" s="3"/>
    </row>
    <row r="888" spans="2:4" x14ac:dyDescent="0.25">
      <c r="B888" s="3"/>
      <c r="D888" s="3"/>
    </row>
    <row r="889" spans="2:4" x14ac:dyDescent="0.25">
      <c r="B889" s="3"/>
      <c r="D889" s="3"/>
    </row>
    <row r="890" spans="2:4" x14ac:dyDescent="0.25">
      <c r="B890" s="3"/>
      <c r="D890" s="3"/>
    </row>
    <row r="891" spans="2:4" x14ac:dyDescent="0.25">
      <c r="B891" s="3"/>
      <c r="D891" s="3"/>
    </row>
    <row r="892" spans="2:4" x14ac:dyDescent="0.25">
      <c r="B892" s="3"/>
      <c r="D892" s="3"/>
    </row>
    <row r="893" spans="2:4" x14ac:dyDescent="0.25">
      <c r="B893" s="3"/>
      <c r="D893" s="3"/>
    </row>
    <row r="894" spans="2:4" x14ac:dyDescent="0.25">
      <c r="B894" s="3"/>
      <c r="D894" s="3"/>
    </row>
    <row r="895" spans="2:4" x14ac:dyDescent="0.25">
      <c r="B895" s="3"/>
      <c r="D895" s="3"/>
    </row>
    <row r="896" spans="2:4" x14ac:dyDescent="0.25">
      <c r="B896" s="3"/>
      <c r="D896" s="3"/>
    </row>
    <row r="897" spans="2:4" x14ac:dyDescent="0.25">
      <c r="B897" s="3"/>
      <c r="D897" s="3"/>
    </row>
    <row r="898" spans="2:4" x14ac:dyDescent="0.25">
      <c r="B898" s="3"/>
      <c r="D898" s="3"/>
    </row>
    <row r="899" spans="2:4" x14ac:dyDescent="0.25">
      <c r="B899" s="3"/>
      <c r="D899" s="3"/>
    </row>
    <row r="900" spans="2:4" x14ac:dyDescent="0.25">
      <c r="B900" s="3"/>
      <c r="D900" s="3"/>
    </row>
    <row r="901" spans="2:4" x14ac:dyDescent="0.25">
      <c r="B901" s="3"/>
      <c r="D901" s="3"/>
    </row>
    <row r="902" spans="2:4" x14ac:dyDescent="0.25">
      <c r="B902" s="3"/>
      <c r="D902" s="3"/>
    </row>
    <row r="903" spans="2:4" x14ac:dyDescent="0.25">
      <c r="B903" s="3"/>
      <c r="D903" s="3"/>
    </row>
    <row r="904" spans="2:4" x14ac:dyDescent="0.25">
      <c r="B904" s="3"/>
      <c r="D904" s="3"/>
    </row>
    <row r="905" spans="2:4" x14ac:dyDescent="0.25">
      <c r="B905" s="3"/>
      <c r="D905" s="3"/>
    </row>
    <row r="906" spans="2:4" x14ac:dyDescent="0.25">
      <c r="B906" s="3"/>
      <c r="D906" s="3"/>
    </row>
    <row r="907" spans="2:4" x14ac:dyDescent="0.25">
      <c r="B907" s="3"/>
      <c r="D907" s="3"/>
    </row>
    <row r="908" spans="2:4" x14ac:dyDescent="0.25">
      <c r="B908" s="3"/>
      <c r="D908" s="3"/>
    </row>
    <row r="909" spans="2:4" x14ac:dyDescent="0.25">
      <c r="B909" s="3"/>
      <c r="D909" s="3"/>
    </row>
    <row r="910" spans="2:4" x14ac:dyDescent="0.25">
      <c r="B910" s="3"/>
      <c r="D910" s="3"/>
    </row>
    <row r="911" spans="2:4" x14ac:dyDescent="0.25">
      <c r="B911" s="3"/>
      <c r="D911" s="3"/>
    </row>
    <row r="912" spans="2:4" x14ac:dyDescent="0.25">
      <c r="B912" s="3"/>
      <c r="D912" s="3"/>
    </row>
    <row r="913" spans="2:4" x14ac:dyDescent="0.25">
      <c r="B913" s="3"/>
      <c r="D913" s="3"/>
    </row>
    <row r="914" spans="2:4" x14ac:dyDescent="0.25">
      <c r="B914" s="3"/>
      <c r="D914" s="3"/>
    </row>
    <row r="915" spans="2:4" x14ac:dyDescent="0.25">
      <c r="B915" s="3"/>
      <c r="D915" s="3"/>
    </row>
    <row r="916" spans="2:4" x14ac:dyDescent="0.25">
      <c r="B916" s="3"/>
      <c r="D916" s="3"/>
    </row>
    <row r="917" spans="2:4" x14ac:dyDescent="0.25">
      <c r="B917" s="3"/>
      <c r="D917" s="3"/>
    </row>
    <row r="918" spans="2:4" x14ac:dyDescent="0.25">
      <c r="B918" s="3"/>
      <c r="D918" s="3"/>
    </row>
    <row r="919" spans="2:4" x14ac:dyDescent="0.25">
      <c r="B919" s="3"/>
      <c r="D919" s="3"/>
    </row>
    <row r="920" spans="2:4" x14ac:dyDescent="0.25">
      <c r="B920" s="3"/>
      <c r="D920" s="3"/>
    </row>
    <row r="921" spans="2:4" x14ac:dyDescent="0.25">
      <c r="B921" s="3"/>
      <c r="D921" s="3"/>
    </row>
    <row r="922" spans="2:4" x14ac:dyDescent="0.25">
      <c r="B922" s="3"/>
      <c r="D922" s="3"/>
    </row>
    <row r="923" spans="2:4" x14ac:dyDescent="0.25">
      <c r="B923" s="3"/>
      <c r="D923" s="3"/>
    </row>
    <row r="924" spans="2:4" x14ac:dyDescent="0.25">
      <c r="B924" s="3"/>
      <c r="D924" s="3"/>
    </row>
    <row r="925" spans="2:4" x14ac:dyDescent="0.25">
      <c r="B925" s="3"/>
      <c r="D925" s="3"/>
    </row>
    <row r="926" spans="2:4" x14ac:dyDescent="0.25">
      <c r="B926" s="3"/>
      <c r="D926" s="3"/>
    </row>
    <row r="927" spans="2:4" x14ac:dyDescent="0.25">
      <c r="B927" s="3"/>
      <c r="D927" s="3"/>
    </row>
    <row r="928" spans="2:4" x14ac:dyDescent="0.25">
      <c r="B928" s="3"/>
      <c r="D928" s="3"/>
    </row>
    <row r="929" spans="2:4" x14ac:dyDescent="0.25">
      <c r="B929" s="3"/>
      <c r="D929" s="3"/>
    </row>
    <row r="930" spans="2:4" x14ac:dyDescent="0.25">
      <c r="B930" s="3"/>
      <c r="D930" s="3"/>
    </row>
    <row r="931" spans="2:4" x14ac:dyDescent="0.25">
      <c r="B931" s="3"/>
      <c r="D931" s="3"/>
    </row>
    <row r="932" spans="2:4" x14ac:dyDescent="0.25">
      <c r="B932" s="3"/>
      <c r="D932" s="3"/>
    </row>
    <row r="933" spans="2:4" x14ac:dyDescent="0.25">
      <c r="B933" s="3"/>
      <c r="D933" s="3"/>
    </row>
    <row r="934" spans="2:4" x14ac:dyDescent="0.25">
      <c r="B934" s="3"/>
      <c r="D934" s="3"/>
    </row>
    <row r="935" spans="2:4" x14ac:dyDescent="0.25">
      <c r="B935" s="3"/>
      <c r="D935" s="3"/>
    </row>
    <row r="936" spans="2:4" x14ac:dyDescent="0.25">
      <c r="B936" s="3"/>
      <c r="D936" s="3"/>
    </row>
    <row r="937" spans="2:4" x14ac:dyDescent="0.25">
      <c r="B937" s="3"/>
      <c r="D937" s="3"/>
    </row>
    <row r="938" spans="2:4" x14ac:dyDescent="0.25">
      <c r="B938" s="3"/>
      <c r="D938" s="3"/>
    </row>
    <row r="939" spans="2:4" x14ac:dyDescent="0.25">
      <c r="B939" s="3"/>
      <c r="D939" s="3"/>
    </row>
    <row r="940" spans="2:4" x14ac:dyDescent="0.25">
      <c r="B940" s="3"/>
      <c r="D940" s="3"/>
    </row>
    <row r="941" spans="2:4" x14ac:dyDescent="0.25">
      <c r="B941" s="3"/>
      <c r="D941" s="3"/>
    </row>
    <row r="942" spans="2:4" x14ac:dyDescent="0.25">
      <c r="B942" s="3"/>
      <c r="D942" s="3"/>
    </row>
    <row r="943" spans="2:4" x14ac:dyDescent="0.25">
      <c r="B943" s="3"/>
      <c r="D943" s="3"/>
    </row>
    <row r="944" spans="2:4" x14ac:dyDescent="0.25">
      <c r="B944" s="3"/>
      <c r="D944" s="3"/>
    </row>
    <row r="945" spans="2:4" x14ac:dyDescent="0.25">
      <c r="B945" s="3"/>
      <c r="D945" s="3"/>
    </row>
    <row r="946" spans="2:4" x14ac:dyDescent="0.25">
      <c r="B946" s="3"/>
      <c r="D946" s="3"/>
    </row>
    <row r="947" spans="2:4" x14ac:dyDescent="0.25">
      <c r="B947" s="3"/>
      <c r="D947" s="3"/>
    </row>
    <row r="948" spans="2:4" x14ac:dyDescent="0.25">
      <c r="B948" s="3"/>
      <c r="D948" s="3"/>
    </row>
    <row r="949" spans="2:4" x14ac:dyDescent="0.25">
      <c r="B949" s="3"/>
      <c r="D949" s="3"/>
    </row>
    <row r="950" spans="2:4" x14ac:dyDescent="0.25">
      <c r="B950" s="3"/>
      <c r="D950" s="3"/>
    </row>
    <row r="951" spans="2:4" x14ac:dyDescent="0.25">
      <c r="B951" s="3"/>
      <c r="D951" s="3"/>
    </row>
    <row r="952" spans="2:4" x14ac:dyDescent="0.25">
      <c r="B952" s="3"/>
      <c r="D952" s="3"/>
    </row>
    <row r="953" spans="2:4" x14ac:dyDescent="0.25">
      <c r="B953" s="3"/>
      <c r="D953" s="3"/>
    </row>
    <row r="954" spans="2:4" x14ac:dyDescent="0.25">
      <c r="B954" s="3"/>
      <c r="D954" s="3"/>
    </row>
    <row r="955" spans="2:4" x14ac:dyDescent="0.25">
      <c r="B955" s="3"/>
      <c r="D955" s="3"/>
    </row>
    <row r="956" spans="2:4" x14ac:dyDescent="0.25">
      <c r="B956" s="3"/>
      <c r="D956" s="3"/>
    </row>
    <row r="957" spans="2:4" x14ac:dyDescent="0.25">
      <c r="B957" s="3"/>
      <c r="D957" s="3"/>
    </row>
    <row r="958" spans="2:4" x14ac:dyDescent="0.25">
      <c r="B958" s="3"/>
      <c r="D958" s="3"/>
    </row>
    <row r="959" spans="2:4" x14ac:dyDescent="0.25">
      <c r="B959" s="3"/>
      <c r="D959" s="3"/>
    </row>
    <row r="960" spans="2:4" x14ac:dyDescent="0.25">
      <c r="B960" s="3"/>
      <c r="D960" s="3"/>
    </row>
    <row r="961" spans="2:4" x14ac:dyDescent="0.25">
      <c r="B961" s="3"/>
      <c r="D961" s="3"/>
    </row>
    <row r="962" spans="2:4" x14ac:dyDescent="0.25">
      <c r="B962" s="3"/>
      <c r="D962" s="3"/>
    </row>
    <row r="963" spans="2:4" x14ac:dyDescent="0.25">
      <c r="B963" s="3"/>
      <c r="D963" s="3"/>
    </row>
    <row r="964" spans="2:4" x14ac:dyDescent="0.25">
      <c r="B964" s="3"/>
      <c r="D964" s="3"/>
    </row>
    <row r="965" spans="2:4" x14ac:dyDescent="0.25">
      <c r="B965" s="3"/>
      <c r="D965" s="3"/>
    </row>
    <row r="966" spans="2:4" x14ac:dyDescent="0.25">
      <c r="B966" s="3"/>
      <c r="D966" s="3"/>
    </row>
    <row r="967" spans="2:4" x14ac:dyDescent="0.25">
      <c r="B967" s="3"/>
      <c r="D967" s="3"/>
    </row>
    <row r="968" spans="2:4" x14ac:dyDescent="0.25">
      <c r="B968" s="3"/>
      <c r="D968" s="3"/>
    </row>
    <row r="969" spans="2:4" x14ac:dyDescent="0.25">
      <c r="B969" s="3"/>
      <c r="D969" s="3"/>
    </row>
    <row r="970" spans="2:4" x14ac:dyDescent="0.25">
      <c r="B970" s="3"/>
      <c r="D970" s="3"/>
    </row>
    <row r="971" spans="2:4" x14ac:dyDescent="0.25">
      <c r="B971" s="3"/>
      <c r="D971" s="3"/>
    </row>
    <row r="972" spans="2:4" x14ac:dyDescent="0.25">
      <c r="B972" s="3"/>
      <c r="D972" s="3"/>
    </row>
    <row r="973" spans="2:4" x14ac:dyDescent="0.25">
      <c r="B973" s="3"/>
      <c r="D973" s="3"/>
    </row>
    <row r="974" spans="2:4" x14ac:dyDescent="0.25">
      <c r="B974" s="3"/>
      <c r="D974" s="3"/>
    </row>
    <row r="975" spans="2:4" x14ac:dyDescent="0.25">
      <c r="B975" s="3"/>
      <c r="D975" s="3"/>
    </row>
    <row r="976" spans="2:4" x14ac:dyDescent="0.25">
      <c r="B976" s="3"/>
      <c r="D976" s="3"/>
    </row>
    <row r="977" spans="2:4" x14ac:dyDescent="0.25">
      <c r="B977" s="3"/>
      <c r="D977" s="3"/>
    </row>
    <row r="978" spans="2:4" x14ac:dyDescent="0.25">
      <c r="B978" s="3"/>
      <c r="D978" s="3"/>
    </row>
    <row r="979" spans="2:4" x14ac:dyDescent="0.25">
      <c r="B979" s="3"/>
      <c r="D979" s="3"/>
    </row>
    <row r="980" spans="2:4" x14ac:dyDescent="0.25">
      <c r="B980" s="3"/>
      <c r="D980" s="3"/>
    </row>
    <row r="981" spans="2:4" x14ac:dyDescent="0.25">
      <c r="B981" s="3"/>
      <c r="D981" s="3"/>
    </row>
    <row r="982" spans="2:4" x14ac:dyDescent="0.25">
      <c r="B982" s="3"/>
      <c r="D982" s="3"/>
    </row>
    <row r="983" spans="2:4" x14ac:dyDescent="0.25">
      <c r="B983" s="3"/>
      <c r="D983" s="3"/>
    </row>
    <row r="984" spans="2:4" x14ac:dyDescent="0.25">
      <c r="B984" s="3"/>
      <c r="D984" s="3"/>
    </row>
    <row r="985" spans="2:4" x14ac:dyDescent="0.25">
      <c r="B985" s="3"/>
      <c r="D985" s="3"/>
    </row>
    <row r="986" spans="2:4" x14ac:dyDescent="0.25">
      <c r="B986" s="3"/>
      <c r="D986" s="3"/>
    </row>
    <row r="987" spans="2:4" x14ac:dyDescent="0.25">
      <c r="B987" s="3"/>
      <c r="D987" s="3"/>
    </row>
    <row r="988" spans="2:4" x14ac:dyDescent="0.25">
      <c r="B988" s="3"/>
      <c r="D988" s="3"/>
    </row>
    <row r="989" spans="2:4" x14ac:dyDescent="0.25">
      <c r="B989" s="3"/>
      <c r="D989" s="3"/>
    </row>
    <row r="990" spans="2:4" x14ac:dyDescent="0.25">
      <c r="B990" s="3"/>
      <c r="D990" s="3"/>
    </row>
    <row r="991" spans="2:4" x14ac:dyDescent="0.25">
      <c r="B991" s="3"/>
      <c r="D991" s="3"/>
    </row>
    <row r="992" spans="2:4" x14ac:dyDescent="0.25">
      <c r="B992" s="3"/>
      <c r="D992" s="3"/>
    </row>
    <row r="993" spans="2:4" x14ac:dyDescent="0.25">
      <c r="B993" s="3"/>
      <c r="D993" s="3"/>
    </row>
    <row r="994" spans="2:4" x14ac:dyDescent="0.25">
      <c r="B994" s="3"/>
      <c r="D994" s="3"/>
    </row>
    <row r="995" spans="2:4" x14ac:dyDescent="0.25">
      <c r="B995" s="3"/>
      <c r="D995" s="3"/>
    </row>
    <row r="996" spans="2:4" x14ac:dyDescent="0.25">
      <c r="B996" s="3"/>
      <c r="D996" s="3"/>
    </row>
    <row r="997" spans="2:4" x14ac:dyDescent="0.25">
      <c r="B997" s="3"/>
      <c r="D997" s="3"/>
    </row>
    <row r="998" spans="2:4" x14ac:dyDescent="0.25">
      <c r="B998" s="3"/>
      <c r="D998" s="3"/>
    </row>
    <row r="999" spans="2:4" x14ac:dyDescent="0.25">
      <c r="B999" s="3"/>
      <c r="D999" s="3"/>
    </row>
    <row r="1000" spans="2:4" x14ac:dyDescent="0.25">
      <c r="B1000" s="3"/>
      <c r="D1000" s="3"/>
    </row>
    <row r="1001" spans="2:4" x14ac:dyDescent="0.25">
      <c r="B1001" s="3"/>
      <c r="D1001" s="3"/>
    </row>
    <row r="1002" spans="2:4" x14ac:dyDescent="0.25">
      <c r="B1002" s="3"/>
      <c r="D1002" s="3"/>
    </row>
    <row r="1003" spans="2:4" x14ac:dyDescent="0.25">
      <c r="B1003" s="3"/>
      <c r="D1003" s="3"/>
    </row>
    <row r="1004" spans="2:4" x14ac:dyDescent="0.25">
      <c r="B1004" s="3"/>
      <c r="D1004" s="3"/>
    </row>
    <row r="1005" spans="2:4" x14ac:dyDescent="0.25">
      <c r="B1005" s="3"/>
      <c r="D1005" s="3"/>
    </row>
    <row r="1006" spans="2:4" x14ac:dyDescent="0.25">
      <c r="B1006" s="3"/>
      <c r="D1006" s="3"/>
    </row>
    <row r="1007" spans="2:4" x14ac:dyDescent="0.25">
      <c r="B1007" s="3"/>
      <c r="D1007" s="3"/>
    </row>
    <row r="1008" spans="2:4" x14ac:dyDescent="0.25">
      <c r="B1008" s="3"/>
      <c r="D1008" s="3"/>
    </row>
    <row r="1009" spans="2:4" x14ac:dyDescent="0.25">
      <c r="B1009" s="3"/>
      <c r="D1009" s="3"/>
    </row>
    <row r="1010" spans="2:4" x14ac:dyDescent="0.25">
      <c r="B1010" s="3"/>
      <c r="D1010" s="3"/>
    </row>
    <row r="1011" spans="2:4" x14ac:dyDescent="0.25">
      <c r="B1011" s="3"/>
      <c r="D1011" s="3"/>
    </row>
    <row r="1012" spans="2:4" x14ac:dyDescent="0.25">
      <c r="B1012" s="3"/>
      <c r="D1012" s="3"/>
    </row>
    <row r="1013" spans="2:4" x14ac:dyDescent="0.25">
      <c r="B1013" s="3"/>
      <c r="D1013" s="3"/>
    </row>
    <row r="1014" spans="2:4" x14ac:dyDescent="0.25">
      <c r="B1014" s="3"/>
      <c r="D1014" s="3"/>
    </row>
    <row r="1015" spans="2:4" x14ac:dyDescent="0.25">
      <c r="B1015" s="3"/>
      <c r="D1015" s="3"/>
    </row>
    <row r="1016" spans="2:4" x14ac:dyDescent="0.25">
      <c r="B1016" s="3"/>
      <c r="D1016" s="3"/>
    </row>
    <row r="1017" spans="2:4" x14ac:dyDescent="0.25">
      <c r="B1017" s="3"/>
      <c r="D1017" s="3"/>
    </row>
    <row r="1018" spans="2:4" x14ac:dyDescent="0.25">
      <c r="B1018" s="3"/>
      <c r="D1018" s="3"/>
    </row>
    <row r="1019" spans="2:4" x14ac:dyDescent="0.25">
      <c r="B1019" s="3"/>
      <c r="D1019" s="3"/>
    </row>
    <row r="1020" spans="2:4" x14ac:dyDescent="0.25">
      <c r="B1020" s="3"/>
      <c r="D1020" s="3"/>
    </row>
    <row r="1021" spans="2:4" x14ac:dyDescent="0.25">
      <c r="B1021" s="3"/>
      <c r="D1021" s="3"/>
    </row>
    <row r="1022" spans="2:4" x14ac:dyDescent="0.25">
      <c r="B1022" s="3"/>
      <c r="D1022" s="3"/>
    </row>
    <row r="1023" spans="2:4" x14ac:dyDescent="0.25">
      <c r="B1023" s="3"/>
      <c r="D1023" s="3"/>
    </row>
    <row r="1024" spans="2:4" x14ac:dyDescent="0.25">
      <c r="B1024" s="3"/>
      <c r="D1024" s="3"/>
    </row>
    <row r="1025" spans="2:4" x14ac:dyDescent="0.25">
      <c r="B1025" s="3"/>
      <c r="D1025" s="3"/>
    </row>
    <row r="1026" spans="2:4" x14ac:dyDescent="0.25">
      <c r="B1026" s="3"/>
      <c r="D1026" s="3"/>
    </row>
    <row r="1027" spans="2:4" x14ac:dyDescent="0.25">
      <c r="B1027" s="3"/>
      <c r="D1027" s="3"/>
    </row>
    <row r="1028" spans="2:4" x14ac:dyDescent="0.25">
      <c r="B1028" s="3"/>
      <c r="D1028" s="3"/>
    </row>
    <row r="1029" spans="2:4" x14ac:dyDescent="0.25">
      <c r="B1029" s="3"/>
      <c r="D1029" s="3"/>
    </row>
    <row r="1030" spans="2:4" x14ac:dyDescent="0.25">
      <c r="B1030" s="3"/>
      <c r="D1030" s="3"/>
    </row>
    <row r="1031" spans="2:4" x14ac:dyDescent="0.25">
      <c r="B1031" s="3"/>
      <c r="D1031" s="3"/>
    </row>
    <row r="1032" spans="2:4" x14ac:dyDescent="0.25">
      <c r="B1032" s="3"/>
      <c r="D1032" s="3"/>
    </row>
    <row r="1033" spans="2:4" x14ac:dyDescent="0.25">
      <c r="B1033" s="3"/>
      <c r="D1033" s="3"/>
    </row>
    <row r="1034" spans="2:4" x14ac:dyDescent="0.25">
      <c r="B1034" s="3"/>
      <c r="D1034" s="3"/>
    </row>
    <row r="1035" spans="2:4" x14ac:dyDescent="0.25">
      <c r="B1035" s="3"/>
      <c r="D1035" s="3"/>
    </row>
    <row r="1036" spans="2:4" x14ac:dyDescent="0.25">
      <c r="B1036" s="3"/>
      <c r="D1036" s="3"/>
    </row>
    <row r="1037" spans="2:4" x14ac:dyDescent="0.25">
      <c r="B1037" s="3"/>
      <c r="D1037" s="3"/>
    </row>
    <row r="1038" spans="2:4" x14ac:dyDescent="0.25">
      <c r="B1038" s="3"/>
      <c r="D1038" s="3"/>
    </row>
    <row r="1039" spans="2:4" x14ac:dyDescent="0.25">
      <c r="B1039" s="3"/>
      <c r="D1039" s="3"/>
    </row>
    <row r="1040" spans="2:4" x14ac:dyDescent="0.25">
      <c r="B1040" s="3"/>
      <c r="D1040" s="3"/>
    </row>
    <row r="1041" spans="2:4" x14ac:dyDescent="0.25">
      <c r="B1041" s="3"/>
      <c r="D1041" s="3"/>
    </row>
    <row r="1042" spans="2:4" x14ac:dyDescent="0.25">
      <c r="B1042" s="3"/>
      <c r="D1042" s="3"/>
    </row>
    <row r="1043" spans="2:4" x14ac:dyDescent="0.25">
      <c r="B1043" s="3"/>
      <c r="D1043" s="3"/>
    </row>
    <row r="1044" spans="2:4" x14ac:dyDescent="0.25">
      <c r="B1044" s="3"/>
      <c r="D1044" s="3"/>
    </row>
    <row r="1045" spans="2:4" x14ac:dyDescent="0.25">
      <c r="B1045" s="3"/>
      <c r="D1045" s="3"/>
    </row>
    <row r="1046" spans="2:4" x14ac:dyDescent="0.25">
      <c r="B1046" s="3"/>
      <c r="D1046" s="3"/>
    </row>
    <row r="1047" spans="2:4" x14ac:dyDescent="0.25">
      <c r="B1047" s="3"/>
      <c r="D1047" s="3"/>
    </row>
    <row r="1048" spans="2:4" x14ac:dyDescent="0.25">
      <c r="B1048" s="3"/>
      <c r="D1048" s="3"/>
    </row>
    <row r="1049" spans="2:4" x14ac:dyDescent="0.25">
      <c r="B1049" s="3"/>
      <c r="D1049" s="3"/>
    </row>
    <row r="1050" spans="2:4" x14ac:dyDescent="0.25">
      <c r="B1050" s="3"/>
      <c r="D1050" s="3"/>
    </row>
    <row r="1051" spans="2:4" x14ac:dyDescent="0.25">
      <c r="B1051" s="3"/>
      <c r="D1051" s="3"/>
    </row>
    <row r="1052" spans="2:4" x14ac:dyDescent="0.25">
      <c r="B1052" s="3"/>
      <c r="D1052" s="3"/>
    </row>
    <row r="1053" spans="2:4" x14ac:dyDescent="0.25">
      <c r="B1053" s="3"/>
      <c r="D1053" s="3"/>
    </row>
    <row r="1054" spans="2:4" x14ac:dyDescent="0.25">
      <c r="B1054" s="3"/>
      <c r="D1054" s="3"/>
    </row>
    <row r="1055" spans="2:4" x14ac:dyDescent="0.25">
      <c r="B1055" s="3"/>
      <c r="D1055" s="3"/>
    </row>
    <row r="1056" spans="2:4" x14ac:dyDescent="0.25">
      <c r="B1056" s="3"/>
      <c r="D1056" s="3"/>
    </row>
    <row r="1057" spans="2:4" x14ac:dyDescent="0.25">
      <c r="B1057" s="3"/>
      <c r="D1057" s="3"/>
    </row>
    <row r="1058" spans="2:4" x14ac:dyDescent="0.25">
      <c r="B1058" s="3"/>
      <c r="D1058" s="3"/>
    </row>
    <row r="1059" spans="2:4" x14ac:dyDescent="0.25">
      <c r="B1059" s="3"/>
      <c r="D1059" s="3"/>
    </row>
    <row r="1060" spans="2:4" x14ac:dyDescent="0.25">
      <c r="B1060" s="3"/>
      <c r="D1060" s="3"/>
    </row>
    <row r="1061" spans="2:4" x14ac:dyDescent="0.25">
      <c r="B1061" s="3"/>
      <c r="D1061" s="3"/>
    </row>
    <row r="1062" spans="2:4" x14ac:dyDescent="0.25">
      <c r="B1062" s="3"/>
      <c r="D1062" s="3"/>
    </row>
    <row r="1063" spans="2:4" x14ac:dyDescent="0.25">
      <c r="B1063" s="3"/>
      <c r="D1063" s="3"/>
    </row>
    <row r="1064" spans="2:4" x14ac:dyDescent="0.25">
      <c r="B1064" s="3"/>
      <c r="D1064" s="3"/>
    </row>
    <row r="1065" spans="2:4" x14ac:dyDescent="0.25">
      <c r="B1065" s="3"/>
      <c r="D1065" s="3"/>
    </row>
    <row r="1066" spans="2:4" x14ac:dyDescent="0.25">
      <c r="B1066" s="3"/>
      <c r="D1066" s="3"/>
    </row>
    <row r="1067" spans="2:4" x14ac:dyDescent="0.25">
      <c r="B1067" s="3"/>
      <c r="D1067" s="3"/>
    </row>
    <row r="1068" spans="2:4" x14ac:dyDescent="0.25">
      <c r="B1068" s="3"/>
      <c r="D1068" s="3"/>
    </row>
    <row r="1069" spans="2:4" x14ac:dyDescent="0.25">
      <c r="B1069" s="3"/>
      <c r="D1069" s="3"/>
    </row>
    <row r="1070" spans="2:4" x14ac:dyDescent="0.25">
      <c r="B1070" s="3"/>
      <c r="D1070" s="3"/>
    </row>
    <row r="1071" spans="2:4" x14ac:dyDescent="0.25">
      <c r="B1071" s="3"/>
      <c r="D1071" s="3"/>
    </row>
    <row r="1072" spans="2:4" x14ac:dyDescent="0.25">
      <c r="B1072" s="3"/>
      <c r="D1072" s="3"/>
    </row>
    <row r="1073" spans="2:4" x14ac:dyDescent="0.25">
      <c r="B1073" s="3"/>
      <c r="D1073" s="3"/>
    </row>
    <row r="1074" spans="2:4" x14ac:dyDescent="0.25">
      <c r="B1074" s="3"/>
      <c r="D1074" s="3"/>
    </row>
    <row r="1075" spans="2:4" x14ac:dyDescent="0.25">
      <c r="B1075" s="3"/>
      <c r="D1075" s="3"/>
    </row>
    <row r="1076" spans="2:4" x14ac:dyDescent="0.25">
      <c r="B1076" s="3"/>
      <c r="D1076" s="3"/>
    </row>
    <row r="1077" spans="2:4" x14ac:dyDescent="0.25">
      <c r="B1077" s="3"/>
      <c r="D1077" s="3"/>
    </row>
    <row r="1078" spans="2:4" x14ac:dyDescent="0.25">
      <c r="B1078" s="3"/>
      <c r="D1078" s="3"/>
    </row>
    <row r="1079" spans="2:4" x14ac:dyDescent="0.25">
      <c r="B1079" s="3"/>
      <c r="D1079" s="3"/>
    </row>
    <row r="1080" spans="2:4" x14ac:dyDescent="0.25">
      <c r="B1080" s="3"/>
      <c r="D1080" s="3"/>
    </row>
    <row r="1081" spans="2:4" x14ac:dyDescent="0.25">
      <c r="B1081" s="3"/>
      <c r="D1081" s="3"/>
    </row>
    <row r="1082" spans="2:4" x14ac:dyDescent="0.25">
      <c r="B1082" s="3"/>
      <c r="D1082" s="3"/>
    </row>
    <row r="1083" spans="2:4" x14ac:dyDescent="0.25">
      <c r="B1083" s="3"/>
      <c r="D1083" s="3"/>
    </row>
    <row r="1084" spans="2:4" x14ac:dyDescent="0.25">
      <c r="B1084" s="3"/>
      <c r="D1084" s="3"/>
    </row>
    <row r="1085" spans="2:4" x14ac:dyDescent="0.25">
      <c r="B1085" s="3"/>
      <c r="D1085" s="3"/>
    </row>
    <row r="1086" spans="2:4" x14ac:dyDescent="0.25">
      <c r="B1086" s="3"/>
      <c r="D1086" s="3"/>
    </row>
    <row r="1087" spans="2:4" x14ac:dyDescent="0.25">
      <c r="B1087" s="3"/>
      <c r="D1087" s="3"/>
    </row>
    <row r="1088" spans="2:4" x14ac:dyDescent="0.25">
      <c r="B1088" s="3"/>
      <c r="D1088" s="3"/>
    </row>
    <row r="1089" spans="2:4" x14ac:dyDescent="0.25">
      <c r="B1089" s="3"/>
      <c r="D1089" s="3"/>
    </row>
    <row r="1090" spans="2:4" x14ac:dyDescent="0.25">
      <c r="B1090" s="3"/>
      <c r="D1090" s="3"/>
    </row>
    <row r="1091" spans="2:4" x14ac:dyDescent="0.25">
      <c r="B1091" s="3"/>
      <c r="D1091" s="3"/>
    </row>
    <row r="1092" spans="2:4" x14ac:dyDescent="0.25">
      <c r="B1092" s="3"/>
      <c r="D1092" s="3"/>
    </row>
    <row r="1093" spans="2:4" x14ac:dyDescent="0.25">
      <c r="B1093" s="3"/>
      <c r="D1093" s="3"/>
    </row>
    <row r="1094" spans="2:4" x14ac:dyDescent="0.25">
      <c r="B1094" s="3"/>
      <c r="D1094" s="3"/>
    </row>
    <row r="1095" spans="2:4" x14ac:dyDescent="0.25">
      <c r="B1095" s="3"/>
      <c r="D1095" s="3"/>
    </row>
    <row r="1096" spans="2:4" x14ac:dyDescent="0.25">
      <c r="B1096" s="3"/>
      <c r="D1096" s="3"/>
    </row>
    <row r="1097" spans="2:4" x14ac:dyDescent="0.25">
      <c r="B1097" s="3"/>
      <c r="D1097" s="3"/>
    </row>
    <row r="1098" spans="2:4" x14ac:dyDescent="0.25">
      <c r="B1098" s="3"/>
      <c r="D1098" s="3"/>
    </row>
    <row r="1099" spans="2:4" x14ac:dyDescent="0.25">
      <c r="B1099" s="3"/>
      <c r="D1099" s="3"/>
    </row>
    <row r="1100" spans="2:4" x14ac:dyDescent="0.25">
      <c r="B1100" s="3"/>
      <c r="D1100" s="3"/>
    </row>
    <row r="1101" spans="2:4" x14ac:dyDescent="0.25">
      <c r="B1101" s="3"/>
      <c r="D1101" s="3"/>
    </row>
    <row r="1102" spans="2:4" x14ac:dyDescent="0.25">
      <c r="B1102" s="3"/>
      <c r="D1102" s="3"/>
    </row>
    <row r="1103" spans="2:4" x14ac:dyDescent="0.25">
      <c r="B1103" s="3"/>
      <c r="D1103" s="3"/>
    </row>
    <row r="1104" spans="2:4" x14ac:dyDescent="0.25">
      <c r="B1104" s="3"/>
      <c r="D1104" s="3"/>
    </row>
    <row r="1105" spans="2:4" x14ac:dyDescent="0.25">
      <c r="B1105" s="3"/>
      <c r="D1105" s="3"/>
    </row>
    <row r="1106" spans="2:4" x14ac:dyDescent="0.25">
      <c r="B1106" s="3"/>
      <c r="D1106" s="3"/>
    </row>
    <row r="1107" spans="2:4" x14ac:dyDescent="0.25">
      <c r="B1107" s="3"/>
      <c r="D1107" s="3"/>
    </row>
    <row r="1108" spans="2:4" x14ac:dyDescent="0.25">
      <c r="B1108" s="3"/>
      <c r="D1108" s="3"/>
    </row>
    <row r="1109" spans="2:4" x14ac:dyDescent="0.25">
      <c r="B1109" s="3"/>
      <c r="D1109" s="3"/>
    </row>
    <row r="1110" spans="2:4" x14ac:dyDescent="0.25">
      <c r="B1110" s="3"/>
      <c r="D1110" s="3"/>
    </row>
    <row r="1111" spans="2:4" x14ac:dyDescent="0.25">
      <c r="B1111" s="3"/>
      <c r="D1111" s="3"/>
    </row>
    <row r="1112" spans="2:4" x14ac:dyDescent="0.25">
      <c r="B1112" s="3"/>
      <c r="D1112" s="3"/>
    </row>
    <row r="1113" spans="2:4" x14ac:dyDescent="0.25">
      <c r="B1113" s="3"/>
      <c r="D1113" s="3"/>
    </row>
    <row r="1114" spans="2:4" x14ac:dyDescent="0.25">
      <c r="B1114" s="3"/>
      <c r="D1114" s="3"/>
    </row>
    <row r="1115" spans="2:4" x14ac:dyDescent="0.25">
      <c r="B1115" s="3"/>
      <c r="D1115" s="3"/>
    </row>
    <row r="1116" spans="2:4" x14ac:dyDescent="0.25">
      <c r="B1116" s="3"/>
      <c r="D1116" s="3"/>
    </row>
    <row r="1117" spans="2:4" x14ac:dyDescent="0.25">
      <c r="B1117" s="3"/>
      <c r="D1117" s="3"/>
    </row>
    <row r="1118" spans="2:4" x14ac:dyDescent="0.25">
      <c r="B1118" s="3"/>
      <c r="D1118" s="3"/>
    </row>
    <row r="1119" spans="2:4" x14ac:dyDescent="0.25">
      <c r="B1119" s="3"/>
      <c r="D1119" s="3"/>
    </row>
    <row r="1120" spans="2:4" x14ac:dyDescent="0.25">
      <c r="B1120" s="3"/>
      <c r="D1120" s="3"/>
    </row>
    <row r="1121" spans="2:4" x14ac:dyDescent="0.25">
      <c r="B1121" s="3"/>
      <c r="D1121" s="3"/>
    </row>
    <row r="1122" spans="2:4" x14ac:dyDescent="0.25">
      <c r="B1122" s="3"/>
      <c r="D1122" s="3"/>
    </row>
    <row r="1123" spans="2:4" x14ac:dyDescent="0.25">
      <c r="B1123" s="3"/>
      <c r="D1123" s="3"/>
    </row>
    <row r="1124" spans="2:4" x14ac:dyDescent="0.25">
      <c r="B1124" s="3"/>
      <c r="D1124" s="3"/>
    </row>
    <row r="1125" spans="2:4" x14ac:dyDescent="0.25">
      <c r="B1125" s="3"/>
      <c r="D1125" s="3"/>
    </row>
    <row r="1126" spans="2:4" x14ac:dyDescent="0.25">
      <c r="B1126" s="3"/>
      <c r="D1126" s="3"/>
    </row>
    <row r="1127" spans="2:4" x14ac:dyDescent="0.25">
      <c r="B1127" s="3"/>
      <c r="D1127" s="3"/>
    </row>
    <row r="1128" spans="2:4" x14ac:dyDescent="0.25">
      <c r="B1128" s="3"/>
      <c r="D1128" s="3"/>
    </row>
    <row r="1129" spans="2:4" x14ac:dyDescent="0.25">
      <c r="B1129" s="3"/>
      <c r="D1129" s="3"/>
    </row>
    <row r="1130" spans="2:4" x14ac:dyDescent="0.25">
      <c r="B1130" s="3"/>
      <c r="D1130" s="3"/>
    </row>
    <row r="1131" spans="2:4" x14ac:dyDescent="0.25">
      <c r="B1131" s="3"/>
      <c r="D1131" s="3"/>
    </row>
    <row r="1132" spans="2:4" x14ac:dyDescent="0.25">
      <c r="B1132" s="3"/>
      <c r="D1132" s="3"/>
    </row>
    <row r="1133" spans="2:4" x14ac:dyDescent="0.25">
      <c r="B1133" s="3"/>
      <c r="D1133" s="3"/>
    </row>
    <row r="1134" spans="2:4" x14ac:dyDescent="0.25">
      <c r="B1134" s="3"/>
      <c r="D1134" s="3"/>
    </row>
    <row r="1135" spans="2:4" x14ac:dyDescent="0.25">
      <c r="B1135" s="3"/>
      <c r="D1135" s="3"/>
    </row>
    <row r="1136" spans="2:4" x14ac:dyDescent="0.25">
      <c r="B1136" s="3"/>
      <c r="D1136" s="3"/>
    </row>
    <row r="1137" spans="2:4" x14ac:dyDescent="0.25">
      <c r="B1137" s="3"/>
      <c r="D1137" s="3"/>
    </row>
    <row r="1138" spans="2:4" x14ac:dyDescent="0.25">
      <c r="B1138" s="3"/>
      <c r="D1138" s="3"/>
    </row>
    <row r="1139" spans="2:4" x14ac:dyDescent="0.25">
      <c r="B1139" s="3"/>
      <c r="D1139" s="3"/>
    </row>
    <row r="1140" spans="2:4" x14ac:dyDescent="0.25">
      <c r="B1140" s="3"/>
      <c r="D1140" s="3"/>
    </row>
    <row r="1141" spans="2:4" x14ac:dyDescent="0.25">
      <c r="B1141" s="3"/>
      <c r="D1141" s="3"/>
    </row>
    <row r="1142" spans="2:4" x14ac:dyDescent="0.25">
      <c r="B1142" s="3"/>
      <c r="D1142" s="3"/>
    </row>
    <row r="1143" spans="2:4" x14ac:dyDescent="0.25">
      <c r="B1143" s="3"/>
      <c r="D1143" s="3"/>
    </row>
    <row r="1144" spans="2:4" x14ac:dyDescent="0.25">
      <c r="B1144" s="3"/>
      <c r="D1144" s="3"/>
    </row>
    <row r="1145" spans="2:4" x14ac:dyDescent="0.25">
      <c r="B1145" s="3"/>
      <c r="D1145" s="3"/>
    </row>
    <row r="1146" spans="2:4" x14ac:dyDescent="0.25">
      <c r="B1146" s="3"/>
      <c r="D1146" s="3"/>
    </row>
    <row r="1147" spans="2:4" x14ac:dyDescent="0.25">
      <c r="B1147" s="3"/>
      <c r="D1147" s="3"/>
    </row>
    <row r="1148" spans="2:4" x14ac:dyDescent="0.25">
      <c r="B1148" s="3"/>
      <c r="D1148" s="3"/>
    </row>
    <row r="1149" spans="2:4" x14ac:dyDescent="0.25">
      <c r="B1149" s="3"/>
      <c r="D1149" s="3"/>
    </row>
    <row r="1150" spans="2:4" x14ac:dyDescent="0.25">
      <c r="B1150" s="3"/>
      <c r="D1150" s="3"/>
    </row>
    <row r="1151" spans="2:4" x14ac:dyDescent="0.25">
      <c r="B1151" s="3"/>
      <c r="D1151" s="3"/>
    </row>
    <row r="1152" spans="2:4" x14ac:dyDescent="0.25">
      <c r="B1152" s="3"/>
      <c r="D1152" s="3"/>
    </row>
    <row r="1153" spans="2:4" x14ac:dyDescent="0.25">
      <c r="B1153" s="3"/>
      <c r="D1153" s="3"/>
    </row>
    <row r="1154" spans="2:4" x14ac:dyDescent="0.25">
      <c r="B1154" s="3"/>
      <c r="D1154" s="3"/>
    </row>
    <row r="1155" spans="2:4" x14ac:dyDescent="0.25">
      <c r="B1155" s="3"/>
      <c r="D1155" s="3"/>
    </row>
    <row r="1156" spans="2:4" x14ac:dyDescent="0.25">
      <c r="B1156" s="3"/>
      <c r="D1156" s="3"/>
    </row>
    <row r="1157" spans="2:4" x14ac:dyDescent="0.25">
      <c r="B1157" s="3"/>
      <c r="D1157" s="3"/>
    </row>
    <row r="1158" spans="2:4" x14ac:dyDescent="0.25">
      <c r="B1158" s="3"/>
      <c r="D1158" s="3"/>
    </row>
    <row r="1159" spans="2:4" x14ac:dyDescent="0.25">
      <c r="B1159" s="3"/>
      <c r="D1159" s="3"/>
    </row>
    <row r="1160" spans="2:4" x14ac:dyDescent="0.25">
      <c r="B1160" s="3"/>
      <c r="D1160" s="3"/>
    </row>
    <row r="1161" spans="2:4" x14ac:dyDescent="0.25">
      <c r="B1161" s="3"/>
      <c r="D1161" s="3"/>
    </row>
    <row r="1162" spans="2:4" x14ac:dyDescent="0.25">
      <c r="B1162" s="3"/>
      <c r="D1162" s="3"/>
    </row>
    <row r="1163" spans="2:4" x14ac:dyDescent="0.25">
      <c r="B1163" s="3"/>
      <c r="D1163" s="3"/>
    </row>
    <row r="1164" spans="2:4" x14ac:dyDescent="0.25">
      <c r="B1164" s="3"/>
      <c r="D1164" s="3"/>
    </row>
    <row r="1165" spans="2:4" x14ac:dyDescent="0.25">
      <c r="B1165" s="3"/>
      <c r="D1165" s="3"/>
    </row>
    <row r="1166" spans="2:4" x14ac:dyDescent="0.25">
      <c r="B1166" s="3"/>
      <c r="D1166" s="3"/>
    </row>
    <row r="1167" spans="2:4" x14ac:dyDescent="0.25">
      <c r="B1167" s="3"/>
      <c r="D1167" s="3"/>
    </row>
    <row r="1168" spans="2:4" x14ac:dyDescent="0.25">
      <c r="B1168" s="3"/>
      <c r="D1168" s="3"/>
    </row>
    <row r="1169" spans="2:4" x14ac:dyDescent="0.25">
      <c r="B1169" s="3"/>
      <c r="D1169" s="3"/>
    </row>
    <row r="1170" spans="2:4" x14ac:dyDescent="0.25">
      <c r="B1170" s="3"/>
      <c r="D1170" s="3"/>
    </row>
    <row r="1171" spans="2:4" x14ac:dyDescent="0.25">
      <c r="B1171" s="3"/>
      <c r="D1171" s="3"/>
    </row>
    <row r="1172" spans="2:4" x14ac:dyDescent="0.25">
      <c r="B1172" s="3"/>
      <c r="D1172" s="3"/>
    </row>
    <row r="1173" spans="2:4" x14ac:dyDescent="0.25">
      <c r="B1173" s="3"/>
      <c r="D1173" s="3"/>
    </row>
    <row r="1174" spans="2:4" x14ac:dyDescent="0.25">
      <c r="B1174" s="3"/>
      <c r="D1174" s="3"/>
    </row>
    <row r="1175" spans="2:4" x14ac:dyDescent="0.25">
      <c r="B1175" s="3"/>
      <c r="D1175" s="3"/>
    </row>
    <row r="1176" spans="2:4" x14ac:dyDescent="0.25">
      <c r="B1176" s="3"/>
      <c r="D1176" s="3"/>
    </row>
    <row r="1177" spans="2:4" x14ac:dyDescent="0.25">
      <c r="B1177" s="3"/>
      <c r="D1177" s="3"/>
    </row>
    <row r="1178" spans="2:4" x14ac:dyDescent="0.25">
      <c r="B1178" s="3"/>
      <c r="D1178" s="3"/>
    </row>
    <row r="1179" spans="2:4" x14ac:dyDescent="0.25">
      <c r="B1179" s="3"/>
      <c r="D1179" s="3"/>
    </row>
    <row r="1180" spans="2:4" x14ac:dyDescent="0.25">
      <c r="B1180" s="3"/>
      <c r="D1180" s="3"/>
    </row>
    <row r="1181" spans="2:4" x14ac:dyDescent="0.25">
      <c r="B1181" s="3"/>
      <c r="D1181" s="3"/>
    </row>
    <row r="1182" spans="2:4" x14ac:dyDescent="0.25">
      <c r="B1182" s="3"/>
      <c r="D1182" s="3"/>
    </row>
    <row r="1183" spans="2:4" x14ac:dyDescent="0.25">
      <c r="B1183" s="3"/>
      <c r="D1183" s="3"/>
    </row>
    <row r="1184" spans="2:4" x14ac:dyDescent="0.25">
      <c r="B1184" s="3"/>
      <c r="D1184" s="3"/>
    </row>
    <row r="1185" spans="2:4" x14ac:dyDescent="0.25">
      <c r="B1185" s="3"/>
      <c r="D1185" s="3"/>
    </row>
    <row r="1186" spans="2:4" x14ac:dyDescent="0.25">
      <c r="B1186" s="3"/>
      <c r="D1186" s="3"/>
    </row>
    <row r="1187" spans="2:4" x14ac:dyDescent="0.25">
      <c r="B1187" s="3"/>
      <c r="D1187" s="3"/>
    </row>
    <row r="1188" spans="2:4" x14ac:dyDescent="0.25">
      <c r="B1188" s="3"/>
      <c r="D1188" s="3"/>
    </row>
    <row r="1189" spans="2:4" x14ac:dyDescent="0.25">
      <c r="B1189" s="3"/>
      <c r="D1189" s="3"/>
    </row>
    <row r="1190" spans="2:4" x14ac:dyDescent="0.25">
      <c r="B1190" s="3"/>
      <c r="D1190" s="3"/>
    </row>
    <row r="1191" spans="2:4" x14ac:dyDescent="0.25">
      <c r="B1191" s="3"/>
      <c r="D1191" s="3"/>
    </row>
    <row r="1192" spans="2:4" x14ac:dyDescent="0.25">
      <c r="B1192" s="3"/>
      <c r="D1192" s="3"/>
    </row>
    <row r="1193" spans="2:4" x14ac:dyDescent="0.25">
      <c r="B1193" s="3"/>
      <c r="D1193" s="3"/>
    </row>
    <row r="1194" spans="2:4" x14ac:dyDescent="0.25">
      <c r="B1194" s="3"/>
      <c r="D1194" s="3"/>
    </row>
    <row r="1195" spans="2:4" x14ac:dyDescent="0.25">
      <c r="B1195" s="3"/>
      <c r="D1195" s="3"/>
    </row>
    <row r="1196" spans="2:4" x14ac:dyDescent="0.25">
      <c r="B1196" s="3"/>
      <c r="D1196" s="3"/>
    </row>
    <row r="1197" spans="2:4" x14ac:dyDescent="0.25">
      <c r="B1197" s="3"/>
      <c r="D1197" s="3"/>
    </row>
    <row r="1198" spans="2:4" x14ac:dyDescent="0.25">
      <c r="B1198" s="3"/>
      <c r="D1198" s="3"/>
    </row>
    <row r="1199" spans="2:4" x14ac:dyDescent="0.25">
      <c r="B1199" s="3"/>
      <c r="D1199" s="3"/>
    </row>
    <row r="1200" spans="2:4" x14ac:dyDescent="0.25">
      <c r="B1200" s="3"/>
      <c r="D1200" s="3"/>
    </row>
    <row r="1201" spans="2:4" x14ac:dyDescent="0.25">
      <c r="B1201" s="3"/>
      <c r="D1201" s="3"/>
    </row>
    <row r="1202" spans="2:4" x14ac:dyDescent="0.25">
      <c r="B1202" s="3"/>
      <c r="D1202" s="3"/>
    </row>
    <row r="1203" spans="2:4" x14ac:dyDescent="0.25">
      <c r="B1203" s="3"/>
      <c r="D1203" s="3"/>
    </row>
    <row r="1204" spans="2:4" x14ac:dyDescent="0.25">
      <c r="B1204" s="3"/>
      <c r="D1204" s="3"/>
    </row>
    <row r="1205" spans="2:4" x14ac:dyDescent="0.25">
      <c r="B1205" s="3"/>
      <c r="D1205" s="3"/>
    </row>
    <row r="1206" spans="2:4" x14ac:dyDescent="0.25">
      <c r="B1206" s="3"/>
      <c r="D1206" s="3"/>
    </row>
    <row r="1207" spans="2:4" x14ac:dyDescent="0.25">
      <c r="B1207" s="3"/>
      <c r="D1207" s="3"/>
    </row>
    <row r="1208" spans="2:4" x14ac:dyDescent="0.25">
      <c r="B1208" s="3"/>
      <c r="D1208" s="3"/>
    </row>
    <row r="1209" spans="2:4" x14ac:dyDescent="0.25">
      <c r="B1209" s="3"/>
      <c r="D1209" s="3"/>
    </row>
    <row r="1210" spans="2:4" x14ac:dyDescent="0.25">
      <c r="B1210" s="3"/>
      <c r="D1210" s="3"/>
    </row>
    <row r="1211" spans="2:4" x14ac:dyDescent="0.25">
      <c r="B1211" s="3"/>
      <c r="D1211" s="3"/>
    </row>
    <row r="1212" spans="2:4" x14ac:dyDescent="0.25">
      <c r="B1212" s="3"/>
      <c r="D1212" s="3"/>
    </row>
    <row r="1213" spans="2:4" x14ac:dyDescent="0.25">
      <c r="B1213" s="3"/>
      <c r="D1213" s="3"/>
    </row>
    <row r="1214" spans="2:4" x14ac:dyDescent="0.25">
      <c r="B1214" s="3"/>
      <c r="D1214" s="3"/>
    </row>
    <row r="1215" spans="2:4" x14ac:dyDescent="0.25">
      <c r="B1215" s="3"/>
      <c r="D1215" s="3"/>
    </row>
    <row r="1216" spans="2:4" x14ac:dyDescent="0.25">
      <c r="B1216" s="3"/>
      <c r="D1216" s="3"/>
    </row>
    <row r="1217" spans="2:4" x14ac:dyDescent="0.25">
      <c r="B1217" s="3"/>
      <c r="D1217" s="3"/>
    </row>
    <row r="1218" spans="2:4" x14ac:dyDescent="0.25">
      <c r="B1218" s="3"/>
      <c r="D1218" s="3"/>
    </row>
    <row r="1219" spans="2:4" x14ac:dyDescent="0.25">
      <c r="B1219" s="3"/>
      <c r="D1219" s="3"/>
    </row>
    <row r="1220" spans="2:4" x14ac:dyDescent="0.25">
      <c r="B1220" s="3"/>
      <c r="D1220" s="3"/>
    </row>
    <row r="1221" spans="2:4" x14ac:dyDescent="0.25">
      <c r="B1221" s="3"/>
      <c r="D1221" s="3"/>
    </row>
    <row r="1222" spans="2:4" x14ac:dyDescent="0.25">
      <c r="B1222" s="3"/>
      <c r="D1222" s="3"/>
    </row>
    <row r="1223" spans="2:4" x14ac:dyDescent="0.25">
      <c r="B1223" s="3"/>
      <c r="D1223" s="3"/>
    </row>
    <row r="1224" spans="2:4" x14ac:dyDescent="0.25">
      <c r="B1224" s="3"/>
      <c r="D1224" s="3"/>
    </row>
    <row r="1225" spans="2:4" x14ac:dyDescent="0.25">
      <c r="B1225" s="3"/>
      <c r="D1225" s="3"/>
    </row>
    <row r="1226" spans="2:4" x14ac:dyDescent="0.25">
      <c r="B1226" s="3"/>
      <c r="D1226" s="3"/>
    </row>
    <row r="1227" spans="2:4" x14ac:dyDescent="0.25">
      <c r="B1227" s="3"/>
      <c r="D1227" s="3"/>
    </row>
    <row r="1228" spans="2:4" x14ac:dyDescent="0.25">
      <c r="B1228" s="3"/>
      <c r="D1228" s="3"/>
    </row>
    <row r="1229" spans="2:4" x14ac:dyDescent="0.25">
      <c r="B1229" s="3"/>
      <c r="D1229" s="3"/>
    </row>
    <row r="1230" spans="2:4" x14ac:dyDescent="0.25">
      <c r="B1230" s="3"/>
      <c r="D1230" s="3"/>
    </row>
    <row r="1231" spans="2:4" x14ac:dyDescent="0.25">
      <c r="B1231" s="3"/>
      <c r="D1231" s="3"/>
    </row>
    <row r="1232" spans="2:4" x14ac:dyDescent="0.25">
      <c r="B1232" s="3"/>
      <c r="D1232" s="3"/>
    </row>
    <row r="1233" spans="2:4" x14ac:dyDescent="0.25">
      <c r="B1233" s="3"/>
      <c r="D1233" s="3"/>
    </row>
    <row r="1234" spans="2:4" x14ac:dyDescent="0.25">
      <c r="B1234" s="3"/>
      <c r="D1234" s="3"/>
    </row>
    <row r="1235" spans="2:4" x14ac:dyDescent="0.25">
      <c r="B1235" s="3"/>
      <c r="D1235" s="3"/>
    </row>
    <row r="1236" spans="2:4" x14ac:dyDescent="0.25">
      <c r="B1236" s="3"/>
      <c r="D1236" s="3"/>
    </row>
    <row r="1237" spans="2:4" x14ac:dyDescent="0.25">
      <c r="B1237" s="3"/>
      <c r="D1237" s="3"/>
    </row>
    <row r="1238" spans="2:4" x14ac:dyDescent="0.25">
      <c r="B1238" s="3"/>
      <c r="D1238" s="3"/>
    </row>
    <row r="1239" spans="2:4" x14ac:dyDescent="0.25">
      <c r="B1239" s="3"/>
      <c r="D1239" s="3"/>
    </row>
    <row r="1240" spans="2:4" x14ac:dyDescent="0.25">
      <c r="B1240" s="3"/>
      <c r="D1240" s="3"/>
    </row>
    <row r="1241" spans="2:4" x14ac:dyDescent="0.25">
      <c r="B1241" s="3"/>
      <c r="D1241" s="3"/>
    </row>
    <row r="1242" spans="2:4" x14ac:dyDescent="0.25">
      <c r="B1242" s="3"/>
      <c r="D1242" s="3"/>
    </row>
    <row r="1243" spans="2:4" x14ac:dyDescent="0.25">
      <c r="B1243" s="3"/>
      <c r="D1243" s="3"/>
    </row>
    <row r="1244" spans="2:4" x14ac:dyDescent="0.25">
      <c r="B1244" s="3"/>
      <c r="D1244" s="3"/>
    </row>
    <row r="1245" spans="2:4" x14ac:dyDescent="0.25">
      <c r="B1245" s="3"/>
      <c r="D1245" s="3"/>
    </row>
    <row r="1246" spans="2:4" x14ac:dyDescent="0.25">
      <c r="B1246" s="3"/>
      <c r="D1246" s="3"/>
    </row>
    <row r="1247" spans="2:4" x14ac:dyDescent="0.25">
      <c r="B1247" s="3"/>
      <c r="D1247" s="3"/>
    </row>
    <row r="1248" spans="2:4" x14ac:dyDescent="0.25">
      <c r="B1248" s="3"/>
      <c r="D1248" s="3"/>
    </row>
    <row r="1249" spans="2:4" x14ac:dyDescent="0.25">
      <c r="B1249" s="3"/>
      <c r="D1249" s="3"/>
    </row>
    <row r="1250" spans="2:4" x14ac:dyDescent="0.25">
      <c r="B1250" s="3"/>
      <c r="D1250" s="3"/>
    </row>
    <row r="1251" spans="2:4" x14ac:dyDescent="0.25">
      <c r="B1251" s="3"/>
      <c r="D1251" s="3"/>
    </row>
    <row r="1252" spans="2:4" x14ac:dyDescent="0.25">
      <c r="B1252" s="3"/>
      <c r="D1252" s="3"/>
    </row>
    <row r="1253" spans="2:4" x14ac:dyDescent="0.25">
      <c r="B1253" s="3"/>
      <c r="D1253" s="3"/>
    </row>
    <row r="1254" spans="2:4" x14ac:dyDescent="0.25">
      <c r="B1254" s="3"/>
      <c r="D1254" s="3"/>
    </row>
    <row r="1255" spans="2:4" x14ac:dyDescent="0.25">
      <c r="B1255" s="3"/>
      <c r="D1255" s="3"/>
    </row>
    <row r="1256" spans="2:4" x14ac:dyDescent="0.25">
      <c r="B1256" s="3"/>
      <c r="D1256" s="3"/>
    </row>
    <row r="1257" spans="2:4" x14ac:dyDescent="0.25">
      <c r="B1257" s="3"/>
      <c r="D1257" s="3"/>
    </row>
    <row r="1258" spans="2:4" x14ac:dyDescent="0.25">
      <c r="B1258" s="3"/>
      <c r="D1258" s="3"/>
    </row>
    <row r="1259" spans="2:4" x14ac:dyDescent="0.25">
      <c r="B1259" s="3"/>
      <c r="D1259" s="3"/>
    </row>
    <row r="1260" spans="2:4" x14ac:dyDescent="0.25">
      <c r="B1260" s="3"/>
      <c r="D1260" s="3"/>
    </row>
    <row r="1261" spans="2:4" x14ac:dyDescent="0.25">
      <c r="B1261" s="3"/>
      <c r="D1261" s="3"/>
    </row>
    <row r="1262" spans="2:4" x14ac:dyDescent="0.25">
      <c r="B1262" s="3"/>
      <c r="D1262" s="3"/>
    </row>
    <row r="1263" spans="2:4" x14ac:dyDescent="0.25">
      <c r="B1263" s="3"/>
      <c r="D1263" s="3"/>
    </row>
    <row r="1264" spans="2:4" x14ac:dyDescent="0.25">
      <c r="B1264" s="3"/>
      <c r="D1264" s="3"/>
    </row>
    <row r="1265" spans="2:4" x14ac:dyDescent="0.25">
      <c r="B1265" s="3"/>
      <c r="D1265" s="3"/>
    </row>
    <row r="1266" spans="2:4" x14ac:dyDescent="0.25">
      <c r="B1266" s="3"/>
      <c r="D1266" s="3"/>
    </row>
    <row r="1267" spans="2:4" x14ac:dyDescent="0.25">
      <c r="B1267" s="3"/>
      <c r="D1267" s="3"/>
    </row>
    <row r="1268" spans="2:4" x14ac:dyDescent="0.25">
      <c r="B1268" s="3"/>
      <c r="D1268" s="3"/>
    </row>
    <row r="1269" spans="2:4" x14ac:dyDescent="0.25">
      <c r="B1269" s="3"/>
      <c r="D1269" s="3"/>
    </row>
    <row r="1270" spans="2:4" x14ac:dyDescent="0.25">
      <c r="B1270" s="3"/>
      <c r="D1270" s="3"/>
    </row>
    <row r="1271" spans="2:4" x14ac:dyDescent="0.25">
      <c r="B1271" s="3"/>
      <c r="D1271" s="3"/>
    </row>
    <row r="1272" spans="2:4" x14ac:dyDescent="0.25">
      <c r="B1272" s="3"/>
      <c r="D1272" s="3"/>
    </row>
    <row r="1273" spans="2:4" x14ac:dyDescent="0.25">
      <c r="B1273" s="3"/>
      <c r="D1273" s="3"/>
    </row>
    <row r="1274" spans="2:4" x14ac:dyDescent="0.25">
      <c r="B1274" s="3"/>
      <c r="D1274" s="3"/>
    </row>
    <row r="1275" spans="2:4" x14ac:dyDescent="0.25">
      <c r="B1275" s="3"/>
      <c r="D1275" s="3"/>
    </row>
    <row r="1276" spans="2:4" x14ac:dyDescent="0.25">
      <c r="B1276" s="3"/>
      <c r="D1276" s="3"/>
    </row>
    <row r="1277" spans="2:4" x14ac:dyDescent="0.25">
      <c r="B1277" s="3"/>
      <c r="D1277" s="3"/>
    </row>
    <row r="1278" spans="2:4" x14ac:dyDescent="0.25">
      <c r="B1278" s="3"/>
      <c r="D1278" s="3"/>
    </row>
    <row r="1279" spans="2:4" x14ac:dyDescent="0.25">
      <c r="B1279" s="3"/>
      <c r="D1279" s="3"/>
    </row>
    <row r="1280" spans="2:4" x14ac:dyDescent="0.25">
      <c r="B1280" s="3"/>
      <c r="D1280" s="3"/>
    </row>
    <row r="1281" spans="2:4" x14ac:dyDescent="0.25">
      <c r="B1281" s="3"/>
      <c r="D1281" s="3"/>
    </row>
    <row r="1282" spans="2:4" x14ac:dyDescent="0.25">
      <c r="B1282" s="3"/>
      <c r="D1282" s="3"/>
    </row>
    <row r="1283" spans="2:4" x14ac:dyDescent="0.25">
      <c r="B1283" s="3"/>
      <c r="D1283" s="3"/>
    </row>
    <row r="1284" spans="2:4" x14ac:dyDescent="0.25">
      <c r="B1284" s="3"/>
      <c r="D1284" s="3"/>
    </row>
    <row r="1285" spans="2:4" x14ac:dyDescent="0.25">
      <c r="B1285" s="3"/>
      <c r="D1285" s="3"/>
    </row>
    <row r="1286" spans="2:4" x14ac:dyDescent="0.25">
      <c r="B1286" s="3"/>
      <c r="D1286" s="3"/>
    </row>
    <row r="1287" spans="2:4" x14ac:dyDescent="0.25">
      <c r="B1287" s="3"/>
      <c r="D1287" s="3"/>
    </row>
    <row r="1288" spans="2:4" x14ac:dyDescent="0.25">
      <c r="B1288" s="3"/>
      <c r="D1288" s="3"/>
    </row>
    <row r="1289" spans="2:4" x14ac:dyDescent="0.25">
      <c r="B1289" s="3"/>
      <c r="D1289" s="3"/>
    </row>
    <row r="1290" spans="2:4" x14ac:dyDescent="0.25">
      <c r="B1290" s="3"/>
      <c r="D1290" s="3"/>
    </row>
    <row r="1291" spans="2:4" x14ac:dyDescent="0.25">
      <c r="B1291" s="3"/>
      <c r="D1291" s="3"/>
    </row>
    <row r="1292" spans="2:4" x14ac:dyDescent="0.25">
      <c r="B1292" s="3"/>
      <c r="D1292" s="3"/>
    </row>
    <row r="1293" spans="2:4" x14ac:dyDescent="0.25">
      <c r="B1293" s="3"/>
      <c r="D1293" s="3"/>
    </row>
    <row r="1294" spans="2:4" x14ac:dyDescent="0.25">
      <c r="B1294" s="3"/>
      <c r="D1294" s="3"/>
    </row>
    <row r="1295" spans="2:4" x14ac:dyDescent="0.25">
      <c r="B1295" s="3"/>
      <c r="D1295" s="3"/>
    </row>
    <row r="1296" spans="2:4" x14ac:dyDescent="0.25">
      <c r="B1296" s="3"/>
      <c r="D1296" s="3"/>
    </row>
    <row r="1297" spans="2:4" x14ac:dyDescent="0.25">
      <c r="B1297" s="3"/>
      <c r="D1297" s="3"/>
    </row>
    <row r="1298" spans="2:4" x14ac:dyDescent="0.25">
      <c r="B1298" s="3"/>
      <c r="D1298" s="3"/>
    </row>
    <row r="1299" spans="2:4" x14ac:dyDescent="0.25">
      <c r="B1299" s="3"/>
      <c r="D1299" s="3"/>
    </row>
    <row r="1300" spans="2:4" x14ac:dyDescent="0.25">
      <c r="B1300" s="3"/>
      <c r="D1300" s="3"/>
    </row>
    <row r="1301" spans="2:4" x14ac:dyDescent="0.25">
      <c r="B1301" s="3"/>
      <c r="D1301" s="3"/>
    </row>
    <row r="1302" spans="2:4" x14ac:dyDescent="0.25">
      <c r="B1302" s="3"/>
      <c r="D1302" s="3"/>
    </row>
    <row r="1303" spans="2:4" x14ac:dyDescent="0.25">
      <c r="B1303" s="3"/>
      <c r="D1303" s="3"/>
    </row>
    <row r="1304" spans="2:4" x14ac:dyDescent="0.25">
      <c r="B1304" s="3"/>
      <c r="D1304" s="3"/>
    </row>
    <row r="1305" spans="2:4" x14ac:dyDescent="0.25">
      <c r="B1305" s="3"/>
      <c r="D1305" s="3"/>
    </row>
    <row r="1306" spans="2:4" x14ac:dyDescent="0.25">
      <c r="B1306" s="3"/>
      <c r="D1306" s="3"/>
    </row>
    <row r="1307" spans="2:4" x14ac:dyDescent="0.25">
      <c r="B1307" s="3"/>
      <c r="D1307" s="3"/>
    </row>
    <row r="1308" spans="2:4" x14ac:dyDescent="0.25">
      <c r="B1308" s="3"/>
      <c r="D1308" s="3"/>
    </row>
    <row r="1309" spans="2:4" x14ac:dyDescent="0.25">
      <c r="B1309" s="3"/>
      <c r="D1309" s="3"/>
    </row>
    <row r="1310" spans="2:4" x14ac:dyDescent="0.25">
      <c r="B1310" s="3"/>
      <c r="D1310" s="3"/>
    </row>
    <row r="1311" spans="2:4" x14ac:dyDescent="0.25">
      <c r="B1311" s="3"/>
      <c r="D1311" s="3"/>
    </row>
    <row r="1312" spans="2:4" x14ac:dyDescent="0.25">
      <c r="B1312" s="3"/>
      <c r="D1312" s="3"/>
    </row>
    <row r="1313" spans="2:4" x14ac:dyDescent="0.25">
      <c r="B1313" s="3"/>
      <c r="D1313" s="3"/>
    </row>
    <row r="1314" spans="2:4" x14ac:dyDescent="0.25">
      <c r="B1314" s="3"/>
      <c r="D1314" s="3"/>
    </row>
    <row r="1315" spans="2:4" x14ac:dyDescent="0.25">
      <c r="B1315" s="3"/>
      <c r="D1315" s="3"/>
    </row>
    <row r="1316" spans="2:4" x14ac:dyDescent="0.25">
      <c r="B1316" s="3"/>
      <c r="D1316" s="3"/>
    </row>
    <row r="1317" spans="2:4" x14ac:dyDescent="0.25">
      <c r="B1317" s="3"/>
      <c r="D1317" s="3"/>
    </row>
    <row r="1318" spans="2:4" x14ac:dyDescent="0.25">
      <c r="B1318" s="3"/>
      <c r="D1318" s="3"/>
    </row>
    <row r="1319" spans="2:4" x14ac:dyDescent="0.25">
      <c r="B1319" s="3"/>
      <c r="D1319" s="3"/>
    </row>
    <row r="1320" spans="2:4" x14ac:dyDescent="0.25">
      <c r="B1320" s="3"/>
      <c r="D1320" s="3"/>
    </row>
    <row r="1321" spans="2:4" x14ac:dyDescent="0.25">
      <c r="B1321" s="3"/>
      <c r="D1321" s="3"/>
    </row>
    <row r="1322" spans="2:4" x14ac:dyDescent="0.25">
      <c r="B1322" s="3"/>
      <c r="D1322" s="3"/>
    </row>
    <row r="1323" spans="2:4" x14ac:dyDescent="0.25">
      <c r="B1323" s="3"/>
      <c r="D1323" s="3"/>
    </row>
    <row r="1324" spans="2:4" x14ac:dyDescent="0.25">
      <c r="B1324" s="3"/>
      <c r="D1324" s="3"/>
    </row>
    <row r="1325" spans="2:4" x14ac:dyDescent="0.25">
      <c r="B1325" s="3"/>
      <c r="D1325" s="3"/>
    </row>
    <row r="1326" spans="2:4" x14ac:dyDescent="0.25">
      <c r="B1326" s="3"/>
      <c r="D1326" s="3"/>
    </row>
    <row r="1327" spans="2:4" x14ac:dyDescent="0.25">
      <c r="B1327" s="3"/>
      <c r="D1327" s="3"/>
    </row>
    <row r="1328" spans="2:4" x14ac:dyDescent="0.25">
      <c r="B1328" s="3"/>
      <c r="D1328" s="3"/>
    </row>
    <row r="1329" spans="2:4" x14ac:dyDescent="0.25">
      <c r="B1329" s="3"/>
      <c r="D1329" s="3"/>
    </row>
    <row r="1330" spans="2:4" x14ac:dyDescent="0.25">
      <c r="B1330" s="3"/>
      <c r="D1330" s="3"/>
    </row>
    <row r="1331" spans="2:4" x14ac:dyDescent="0.25">
      <c r="B1331" s="3"/>
      <c r="D1331" s="3"/>
    </row>
    <row r="1332" spans="2:4" x14ac:dyDescent="0.25">
      <c r="B1332" s="3"/>
      <c r="D1332" s="3"/>
    </row>
    <row r="1333" spans="2:4" x14ac:dyDescent="0.25">
      <c r="B1333" s="3"/>
      <c r="D1333" s="3"/>
    </row>
    <row r="1334" spans="2:4" x14ac:dyDescent="0.25">
      <c r="B1334" s="3"/>
      <c r="D1334" s="3"/>
    </row>
    <row r="1335" spans="2:4" x14ac:dyDescent="0.25">
      <c r="B1335" s="3"/>
      <c r="D1335" s="3"/>
    </row>
    <row r="1336" spans="2:4" x14ac:dyDescent="0.25">
      <c r="B1336" s="3"/>
      <c r="D1336" s="3"/>
    </row>
    <row r="1337" spans="2:4" x14ac:dyDescent="0.25">
      <c r="B1337" s="3"/>
      <c r="D1337" s="3"/>
    </row>
    <row r="1338" spans="2:4" x14ac:dyDescent="0.25">
      <c r="B1338" s="3"/>
      <c r="D1338" s="3"/>
    </row>
    <row r="1339" spans="2:4" x14ac:dyDescent="0.25">
      <c r="B1339" s="3"/>
      <c r="D1339" s="3"/>
    </row>
    <row r="1340" spans="2:4" x14ac:dyDescent="0.25">
      <c r="B1340" s="3"/>
      <c r="D1340" s="3"/>
    </row>
    <row r="1341" spans="2:4" x14ac:dyDescent="0.25">
      <c r="B1341" s="3"/>
      <c r="D1341" s="3"/>
    </row>
    <row r="1342" spans="2:4" x14ac:dyDescent="0.25">
      <c r="B1342" s="3"/>
      <c r="D1342" s="3"/>
    </row>
    <row r="1343" spans="2:4" x14ac:dyDescent="0.25">
      <c r="B1343" s="3"/>
      <c r="D1343" s="3"/>
    </row>
    <row r="1344" spans="2:4" x14ac:dyDescent="0.25">
      <c r="B1344" s="3"/>
      <c r="D1344" s="3"/>
    </row>
    <row r="1345" spans="2:4" x14ac:dyDescent="0.25">
      <c r="B1345" s="3"/>
      <c r="D1345" s="3"/>
    </row>
    <row r="1346" spans="2:4" x14ac:dyDescent="0.25">
      <c r="B1346" s="3"/>
      <c r="D1346" s="3"/>
    </row>
    <row r="1347" spans="2:4" x14ac:dyDescent="0.25">
      <c r="B1347" s="3"/>
      <c r="D1347" s="3"/>
    </row>
    <row r="1348" spans="2:4" x14ac:dyDescent="0.25">
      <c r="B1348" s="3"/>
      <c r="D1348" s="3"/>
    </row>
    <row r="1349" spans="2:4" x14ac:dyDescent="0.25">
      <c r="B1349" s="3"/>
      <c r="D1349" s="3"/>
    </row>
    <row r="1350" spans="2:4" x14ac:dyDescent="0.25">
      <c r="B1350" s="3"/>
      <c r="D1350" s="3"/>
    </row>
    <row r="1351" spans="2:4" x14ac:dyDescent="0.25">
      <c r="B1351" s="3"/>
      <c r="D1351" s="3"/>
    </row>
    <row r="1352" spans="2:4" x14ac:dyDescent="0.25">
      <c r="B1352" s="3"/>
      <c r="D1352" s="3"/>
    </row>
    <row r="1353" spans="2:4" x14ac:dyDescent="0.25">
      <c r="B1353" s="3"/>
      <c r="D1353" s="3"/>
    </row>
    <row r="1354" spans="2:4" x14ac:dyDescent="0.25">
      <c r="B1354" s="3"/>
      <c r="D1354" s="3"/>
    </row>
    <row r="1355" spans="2:4" x14ac:dyDescent="0.25">
      <c r="B1355" s="3"/>
      <c r="D1355" s="3"/>
    </row>
    <row r="1356" spans="2:4" x14ac:dyDescent="0.25">
      <c r="B1356" s="3"/>
      <c r="D1356" s="3"/>
    </row>
    <row r="1357" spans="2:4" x14ac:dyDescent="0.25">
      <c r="B1357" s="3"/>
      <c r="D1357" s="3"/>
    </row>
    <row r="1358" spans="2:4" x14ac:dyDescent="0.25">
      <c r="B1358" s="3"/>
      <c r="D1358" s="3"/>
    </row>
    <row r="1359" spans="2:4" x14ac:dyDescent="0.25">
      <c r="B1359" s="3"/>
      <c r="D1359" s="3"/>
    </row>
    <row r="1360" spans="2:4" x14ac:dyDescent="0.25">
      <c r="B1360" s="3"/>
      <c r="D1360" s="3"/>
    </row>
    <row r="1361" spans="2:4" x14ac:dyDescent="0.25">
      <c r="B1361" s="3"/>
      <c r="D1361" s="3"/>
    </row>
    <row r="1362" spans="2:4" x14ac:dyDescent="0.25">
      <c r="B1362" s="3"/>
      <c r="D1362" s="3"/>
    </row>
    <row r="1363" spans="2:4" x14ac:dyDescent="0.25">
      <c r="B1363" s="3"/>
      <c r="D1363" s="3"/>
    </row>
    <row r="1364" spans="2:4" x14ac:dyDescent="0.25">
      <c r="B1364" s="3"/>
      <c r="D1364" s="3"/>
    </row>
    <row r="1365" spans="2:4" x14ac:dyDescent="0.25">
      <c r="B1365" s="3"/>
      <c r="D1365" s="3"/>
    </row>
    <row r="1366" spans="2:4" x14ac:dyDescent="0.25">
      <c r="B1366" s="3"/>
      <c r="D1366" s="3"/>
    </row>
    <row r="1367" spans="2:4" x14ac:dyDescent="0.25">
      <c r="B1367" s="3"/>
      <c r="D1367" s="3"/>
    </row>
    <row r="1368" spans="2:4" x14ac:dyDescent="0.25">
      <c r="B1368" s="3"/>
      <c r="D1368" s="3"/>
    </row>
    <row r="1369" spans="2:4" x14ac:dyDescent="0.25">
      <c r="B1369" s="3"/>
      <c r="D1369" s="3"/>
    </row>
    <row r="1370" spans="2:4" x14ac:dyDescent="0.25">
      <c r="B1370" s="3"/>
      <c r="D1370" s="3"/>
    </row>
    <row r="1371" spans="2:4" x14ac:dyDescent="0.25">
      <c r="B1371" s="3"/>
      <c r="D1371" s="3"/>
    </row>
    <row r="1372" spans="2:4" x14ac:dyDescent="0.25">
      <c r="B1372" s="3"/>
      <c r="D1372" s="3"/>
    </row>
    <row r="1373" spans="2:4" x14ac:dyDescent="0.25">
      <c r="B1373" s="3"/>
      <c r="D1373" s="3"/>
    </row>
    <row r="1374" spans="2:4" x14ac:dyDescent="0.25">
      <c r="B1374" s="3"/>
      <c r="D1374" s="3"/>
    </row>
    <row r="1375" spans="2:4" x14ac:dyDescent="0.25">
      <c r="B1375" s="3"/>
      <c r="D1375" s="3"/>
    </row>
    <row r="1376" spans="2:4" x14ac:dyDescent="0.25">
      <c r="B1376" s="3"/>
      <c r="D1376" s="3"/>
    </row>
    <row r="1377" spans="2:4" x14ac:dyDescent="0.25">
      <c r="B1377" s="3"/>
      <c r="D1377" s="3"/>
    </row>
    <row r="1378" spans="2:4" x14ac:dyDescent="0.25">
      <c r="B1378" s="3"/>
      <c r="D1378" s="3"/>
    </row>
    <row r="1379" spans="2:4" x14ac:dyDescent="0.25">
      <c r="B1379" s="3"/>
      <c r="D1379" s="3"/>
    </row>
    <row r="1380" spans="2:4" x14ac:dyDescent="0.25">
      <c r="B1380" s="3"/>
      <c r="D1380" s="3"/>
    </row>
    <row r="1381" spans="2:4" x14ac:dyDescent="0.25">
      <c r="B1381" s="3"/>
      <c r="D1381" s="3"/>
    </row>
    <row r="1382" spans="2:4" x14ac:dyDescent="0.25">
      <c r="B1382" s="3"/>
      <c r="D1382" s="3"/>
    </row>
    <row r="1383" spans="2:4" x14ac:dyDescent="0.25">
      <c r="B1383" s="3"/>
      <c r="D1383" s="3"/>
    </row>
    <row r="1384" spans="2:4" x14ac:dyDescent="0.25">
      <c r="B1384" s="3"/>
      <c r="D1384" s="3"/>
    </row>
    <row r="1385" spans="2:4" x14ac:dyDescent="0.25">
      <c r="B1385" s="3"/>
      <c r="D1385" s="3"/>
    </row>
    <row r="1386" spans="2:4" x14ac:dyDescent="0.25">
      <c r="B1386" s="3"/>
      <c r="D1386" s="3"/>
    </row>
    <row r="1387" spans="2:4" x14ac:dyDescent="0.25">
      <c r="B1387" s="3"/>
      <c r="D1387" s="3"/>
    </row>
    <row r="1388" spans="2:4" x14ac:dyDescent="0.25">
      <c r="B1388" s="3"/>
      <c r="D1388" s="3"/>
    </row>
    <row r="1389" spans="2:4" x14ac:dyDescent="0.25">
      <c r="B1389" s="3"/>
      <c r="D1389" s="3"/>
    </row>
    <row r="1390" spans="2:4" x14ac:dyDescent="0.25">
      <c r="B1390" s="3"/>
      <c r="D1390" s="3"/>
    </row>
    <row r="1391" spans="2:4" x14ac:dyDescent="0.25">
      <c r="B1391" s="3"/>
      <c r="D1391" s="3"/>
    </row>
    <row r="1392" spans="2:4" x14ac:dyDescent="0.25">
      <c r="B1392" s="3"/>
      <c r="D1392" s="3"/>
    </row>
    <row r="1393" spans="2:4" x14ac:dyDescent="0.25">
      <c r="B1393" s="3"/>
      <c r="D1393" s="3"/>
    </row>
    <row r="1394" spans="2:4" x14ac:dyDescent="0.25">
      <c r="B1394" s="3"/>
      <c r="D1394" s="3"/>
    </row>
    <row r="1395" spans="2:4" x14ac:dyDescent="0.25">
      <c r="B1395" s="3"/>
      <c r="D1395" s="3"/>
    </row>
    <row r="1396" spans="2:4" x14ac:dyDescent="0.25">
      <c r="B1396" s="3"/>
      <c r="D1396" s="3"/>
    </row>
    <row r="1397" spans="2:4" x14ac:dyDescent="0.25">
      <c r="B1397" s="3"/>
      <c r="D1397" s="3"/>
    </row>
    <row r="1398" spans="2:4" x14ac:dyDescent="0.25">
      <c r="B1398" s="3"/>
      <c r="D1398" s="3"/>
    </row>
    <row r="1399" spans="2:4" x14ac:dyDescent="0.25">
      <c r="B1399" s="3"/>
      <c r="D1399" s="3"/>
    </row>
    <row r="1400" spans="2:4" x14ac:dyDescent="0.25">
      <c r="B1400" s="3"/>
      <c r="D1400" s="3"/>
    </row>
    <row r="1401" spans="2:4" x14ac:dyDescent="0.25">
      <c r="B1401" s="3"/>
      <c r="D1401" s="3"/>
    </row>
    <row r="1402" spans="2:4" x14ac:dyDescent="0.25">
      <c r="B1402" s="3"/>
      <c r="D1402" s="3"/>
    </row>
    <row r="1403" spans="2:4" x14ac:dyDescent="0.25">
      <c r="B1403" s="3"/>
      <c r="D1403" s="3"/>
    </row>
    <row r="1404" spans="2:4" x14ac:dyDescent="0.25">
      <c r="B1404" s="3"/>
      <c r="D1404" s="3"/>
    </row>
    <row r="1405" spans="2:4" x14ac:dyDescent="0.25">
      <c r="B1405" s="3"/>
      <c r="D1405" s="3"/>
    </row>
    <row r="1406" spans="2:4" x14ac:dyDescent="0.25">
      <c r="B1406" s="3"/>
      <c r="D1406" s="3"/>
    </row>
    <row r="1407" spans="2:4" x14ac:dyDescent="0.25">
      <c r="B1407" s="3"/>
      <c r="D1407" s="3"/>
    </row>
    <row r="1408" spans="2:4" x14ac:dyDescent="0.25">
      <c r="B1408" s="3"/>
      <c r="D1408" s="3"/>
    </row>
    <row r="1409" spans="2:4" x14ac:dyDescent="0.25">
      <c r="B1409" s="3"/>
      <c r="D1409" s="3"/>
    </row>
    <row r="1410" spans="2:4" x14ac:dyDescent="0.25">
      <c r="B1410" s="3"/>
      <c r="D1410" s="3"/>
    </row>
    <row r="1411" spans="2:4" x14ac:dyDescent="0.25">
      <c r="B1411" s="3"/>
      <c r="D1411" s="3"/>
    </row>
    <row r="1412" spans="2:4" x14ac:dyDescent="0.25">
      <c r="B1412" s="3"/>
      <c r="D1412" s="3"/>
    </row>
    <row r="1413" spans="2:4" x14ac:dyDescent="0.25">
      <c r="B1413" s="3"/>
      <c r="D1413" s="3"/>
    </row>
    <row r="1414" spans="2:4" x14ac:dyDescent="0.25">
      <c r="B1414" s="3"/>
      <c r="D1414" s="3"/>
    </row>
    <row r="1415" spans="2:4" x14ac:dyDescent="0.25">
      <c r="B1415" s="3"/>
      <c r="D1415" s="3"/>
    </row>
    <row r="1416" spans="2:4" x14ac:dyDescent="0.25">
      <c r="B1416" s="3"/>
      <c r="D1416" s="3"/>
    </row>
    <row r="1417" spans="2:4" x14ac:dyDescent="0.25">
      <c r="B1417" s="3"/>
      <c r="D1417" s="3"/>
    </row>
    <row r="1418" spans="2:4" x14ac:dyDescent="0.25">
      <c r="B1418" s="3"/>
      <c r="D1418" s="3"/>
    </row>
    <row r="1419" spans="2:4" x14ac:dyDescent="0.25">
      <c r="B1419" s="3"/>
      <c r="D1419" s="3"/>
    </row>
    <row r="1420" spans="2:4" x14ac:dyDescent="0.25">
      <c r="B1420" s="3"/>
      <c r="D1420" s="3"/>
    </row>
    <row r="1421" spans="2:4" x14ac:dyDescent="0.25">
      <c r="B1421" s="3"/>
      <c r="D1421" s="3"/>
    </row>
    <row r="1422" spans="2:4" x14ac:dyDescent="0.25">
      <c r="B1422" s="3"/>
      <c r="D1422" s="3"/>
    </row>
    <row r="1423" spans="2:4" x14ac:dyDescent="0.25">
      <c r="B1423" s="3"/>
      <c r="D1423" s="3"/>
    </row>
    <row r="1424" spans="2:4" x14ac:dyDescent="0.25">
      <c r="B1424" s="3"/>
      <c r="D1424" s="3"/>
    </row>
    <row r="1425" spans="2:4" x14ac:dyDescent="0.25">
      <c r="B1425" s="3"/>
      <c r="D1425" s="3"/>
    </row>
    <row r="1426" spans="2:4" x14ac:dyDescent="0.25">
      <c r="B1426" s="3"/>
      <c r="D1426" s="3"/>
    </row>
    <row r="1427" spans="2:4" x14ac:dyDescent="0.25">
      <c r="B1427" s="3"/>
      <c r="D1427" s="3"/>
    </row>
    <row r="1428" spans="2:4" x14ac:dyDescent="0.25">
      <c r="B1428" s="3"/>
      <c r="D1428" s="3"/>
    </row>
    <row r="1429" spans="2:4" x14ac:dyDescent="0.25">
      <c r="B1429" s="3"/>
      <c r="D1429" s="3"/>
    </row>
    <row r="1430" spans="2:4" x14ac:dyDescent="0.25">
      <c r="B1430" s="3"/>
      <c r="D1430" s="3"/>
    </row>
    <row r="1431" spans="2:4" x14ac:dyDescent="0.25">
      <c r="B1431" s="3"/>
      <c r="D1431" s="3"/>
    </row>
    <row r="1432" spans="2:4" x14ac:dyDescent="0.25">
      <c r="B1432" s="3"/>
      <c r="D1432" s="3"/>
    </row>
    <row r="1433" spans="2:4" x14ac:dyDescent="0.25">
      <c r="B1433" s="3"/>
      <c r="D1433" s="3"/>
    </row>
    <row r="1434" spans="2:4" x14ac:dyDescent="0.25">
      <c r="B1434" s="3"/>
      <c r="D1434" s="3"/>
    </row>
    <row r="1435" spans="2:4" x14ac:dyDescent="0.25">
      <c r="B1435" s="3"/>
      <c r="D1435" s="3"/>
    </row>
    <row r="1436" spans="2:4" x14ac:dyDescent="0.25">
      <c r="B1436" s="3"/>
      <c r="D1436" s="3"/>
    </row>
    <row r="1437" spans="2:4" x14ac:dyDescent="0.25">
      <c r="B1437" s="3"/>
      <c r="D1437" s="3"/>
    </row>
    <row r="1438" spans="2:4" x14ac:dyDescent="0.25">
      <c r="B1438" s="3"/>
      <c r="D1438" s="3"/>
    </row>
    <row r="1439" spans="2:4" x14ac:dyDescent="0.25">
      <c r="B1439" s="3"/>
      <c r="D1439" s="3"/>
    </row>
    <row r="1440" spans="2:4" x14ac:dyDescent="0.25">
      <c r="B1440" s="3"/>
      <c r="D1440" s="3"/>
    </row>
    <row r="1441" spans="2:4" x14ac:dyDescent="0.25">
      <c r="B1441" s="3"/>
      <c r="D1441" s="3"/>
    </row>
    <row r="1442" spans="2:4" x14ac:dyDescent="0.25">
      <c r="B1442" s="3"/>
      <c r="D1442" s="3"/>
    </row>
    <row r="1443" spans="2:4" x14ac:dyDescent="0.25">
      <c r="B1443" s="3"/>
      <c r="D1443" s="3"/>
    </row>
    <row r="1444" spans="2:4" x14ac:dyDescent="0.25">
      <c r="B1444" s="3"/>
      <c r="D1444" s="3"/>
    </row>
    <row r="1445" spans="2:4" x14ac:dyDescent="0.25">
      <c r="B1445" s="3"/>
      <c r="D1445" s="3"/>
    </row>
    <row r="1446" spans="2:4" x14ac:dyDescent="0.25">
      <c r="B1446" s="3"/>
      <c r="D1446" s="3"/>
    </row>
    <row r="1447" spans="2:4" x14ac:dyDescent="0.25">
      <c r="B1447" s="3"/>
      <c r="D1447" s="3"/>
    </row>
    <row r="1448" spans="2:4" x14ac:dyDescent="0.25">
      <c r="B1448" s="3"/>
      <c r="D1448" s="3"/>
    </row>
    <row r="1449" spans="2:4" x14ac:dyDescent="0.25">
      <c r="B1449" s="3"/>
      <c r="D1449" s="3"/>
    </row>
    <row r="1450" spans="2:4" x14ac:dyDescent="0.25">
      <c r="B1450" s="3"/>
      <c r="D1450" s="3"/>
    </row>
    <row r="1451" spans="2:4" x14ac:dyDescent="0.25">
      <c r="B1451" s="3"/>
      <c r="D1451" s="3"/>
    </row>
    <row r="1452" spans="2:4" x14ac:dyDescent="0.25">
      <c r="B1452" s="3"/>
      <c r="D1452" s="3"/>
    </row>
    <row r="1453" spans="2:4" x14ac:dyDescent="0.25">
      <c r="B1453" s="3"/>
      <c r="D1453" s="3"/>
    </row>
    <row r="1454" spans="2:4" x14ac:dyDescent="0.25">
      <c r="B1454" s="3"/>
      <c r="D1454" s="3"/>
    </row>
    <row r="1455" spans="2:4" x14ac:dyDescent="0.25">
      <c r="B1455" s="3"/>
      <c r="D1455" s="3"/>
    </row>
    <row r="1456" spans="2:4" x14ac:dyDescent="0.25">
      <c r="B1456" s="3"/>
      <c r="D1456" s="3"/>
    </row>
    <row r="1457" spans="2:4" x14ac:dyDescent="0.25">
      <c r="B1457" s="3"/>
      <c r="D1457" s="3"/>
    </row>
    <row r="1458" spans="2:4" x14ac:dyDescent="0.25">
      <c r="B1458" s="3"/>
      <c r="D1458" s="3"/>
    </row>
    <row r="1459" spans="2:4" x14ac:dyDescent="0.25">
      <c r="B1459" s="3"/>
      <c r="D1459" s="3"/>
    </row>
    <row r="1460" spans="2:4" x14ac:dyDescent="0.25">
      <c r="B1460" s="3"/>
      <c r="D1460" s="3"/>
    </row>
    <row r="1461" spans="2:4" x14ac:dyDescent="0.25">
      <c r="B1461" s="3"/>
      <c r="D1461" s="3"/>
    </row>
    <row r="1462" spans="2:4" x14ac:dyDescent="0.25">
      <c r="B1462" s="3"/>
      <c r="D1462" s="3"/>
    </row>
    <row r="1463" spans="2:4" x14ac:dyDescent="0.25">
      <c r="B1463" s="3"/>
      <c r="D1463" s="3"/>
    </row>
    <row r="1464" spans="2:4" x14ac:dyDescent="0.25">
      <c r="B1464" s="3"/>
      <c r="D1464" s="3"/>
    </row>
    <row r="1465" spans="2:4" x14ac:dyDescent="0.25">
      <c r="B1465" s="3"/>
      <c r="D1465" s="3"/>
    </row>
    <row r="1466" spans="2:4" x14ac:dyDescent="0.25">
      <c r="B1466" s="3"/>
      <c r="D1466" s="3"/>
    </row>
    <row r="1467" spans="2:4" x14ac:dyDescent="0.25">
      <c r="B1467" s="3"/>
      <c r="D1467" s="3"/>
    </row>
    <row r="1468" spans="2:4" x14ac:dyDescent="0.25">
      <c r="B1468" s="3"/>
      <c r="D1468" s="3"/>
    </row>
    <row r="1469" spans="2:4" x14ac:dyDescent="0.25">
      <c r="B1469" s="3"/>
      <c r="D1469" s="3"/>
    </row>
    <row r="1470" spans="2:4" x14ac:dyDescent="0.25">
      <c r="B1470" s="3"/>
      <c r="D1470" s="3"/>
    </row>
    <row r="1471" spans="2:4" x14ac:dyDescent="0.25">
      <c r="B1471" s="3"/>
      <c r="D1471" s="3"/>
    </row>
    <row r="1472" spans="2:4" x14ac:dyDescent="0.25">
      <c r="B1472" s="3"/>
      <c r="D1472" s="3"/>
    </row>
    <row r="1473" spans="2:4" x14ac:dyDescent="0.25">
      <c r="B1473" s="3"/>
      <c r="D1473" s="3"/>
    </row>
    <row r="1474" spans="2:4" x14ac:dyDescent="0.25">
      <c r="B1474" s="3"/>
      <c r="D1474" s="3"/>
    </row>
    <row r="1475" spans="2:4" x14ac:dyDescent="0.25">
      <c r="B1475" s="3"/>
      <c r="D1475" s="3"/>
    </row>
    <row r="1476" spans="2:4" x14ac:dyDescent="0.25">
      <c r="B1476" s="3"/>
      <c r="D1476" s="3"/>
    </row>
    <row r="1477" spans="2:4" x14ac:dyDescent="0.25">
      <c r="B1477" s="3"/>
      <c r="D1477" s="3"/>
    </row>
    <row r="1478" spans="2:4" x14ac:dyDescent="0.25">
      <c r="B1478" s="3"/>
      <c r="D1478" s="3"/>
    </row>
    <row r="1479" spans="2:4" x14ac:dyDescent="0.25">
      <c r="B1479" s="3"/>
      <c r="D1479" s="3"/>
    </row>
    <row r="1480" spans="2:4" x14ac:dyDescent="0.25">
      <c r="B1480" s="3"/>
      <c r="D1480" s="3"/>
    </row>
    <row r="1481" spans="2:4" x14ac:dyDescent="0.25">
      <c r="B1481" s="3"/>
      <c r="D1481" s="3"/>
    </row>
    <row r="1482" spans="2:4" x14ac:dyDescent="0.25">
      <c r="B1482" s="3"/>
      <c r="D1482" s="3"/>
    </row>
    <row r="1483" spans="2:4" x14ac:dyDescent="0.25">
      <c r="B1483" s="3"/>
      <c r="D1483" s="3"/>
    </row>
    <row r="1484" spans="2:4" x14ac:dyDescent="0.25">
      <c r="B1484" s="3"/>
      <c r="D1484" s="3"/>
    </row>
    <row r="1485" spans="2:4" x14ac:dyDescent="0.25">
      <c r="B1485" s="3"/>
      <c r="D1485" s="3"/>
    </row>
    <row r="1486" spans="2:4" x14ac:dyDescent="0.25">
      <c r="B1486" s="3"/>
      <c r="D1486" s="3"/>
    </row>
    <row r="1487" spans="2:4" x14ac:dyDescent="0.25">
      <c r="B1487" s="3"/>
      <c r="D1487" s="3"/>
    </row>
    <row r="1488" spans="2:4" x14ac:dyDescent="0.25">
      <c r="B1488" s="3"/>
      <c r="D1488" s="3"/>
    </row>
    <row r="1489" spans="2:4" x14ac:dyDescent="0.25">
      <c r="B1489" s="3"/>
      <c r="D1489" s="3"/>
    </row>
    <row r="1490" spans="2:4" x14ac:dyDescent="0.25">
      <c r="B1490" s="3"/>
      <c r="D1490" s="3"/>
    </row>
    <row r="1491" spans="2:4" x14ac:dyDescent="0.25">
      <c r="B1491" s="3"/>
      <c r="D1491" s="3"/>
    </row>
    <row r="1492" spans="2:4" x14ac:dyDescent="0.25">
      <c r="B1492" s="3"/>
      <c r="D1492" s="3"/>
    </row>
    <row r="1493" spans="2:4" x14ac:dyDescent="0.25">
      <c r="B1493" s="3"/>
      <c r="D1493" s="3"/>
    </row>
    <row r="1494" spans="2:4" x14ac:dyDescent="0.25">
      <c r="B1494" s="3"/>
      <c r="D1494" s="3"/>
    </row>
    <row r="1495" spans="2:4" x14ac:dyDescent="0.25">
      <c r="B1495" s="3"/>
      <c r="D1495" s="3"/>
    </row>
    <row r="1496" spans="2:4" x14ac:dyDescent="0.25">
      <c r="B1496" s="3"/>
      <c r="D1496" s="3"/>
    </row>
    <row r="1497" spans="2:4" x14ac:dyDescent="0.25">
      <c r="B1497" s="3"/>
      <c r="D1497" s="3"/>
    </row>
    <row r="1498" spans="2:4" x14ac:dyDescent="0.25">
      <c r="B1498" s="3"/>
      <c r="D1498" s="3"/>
    </row>
    <row r="1499" spans="2:4" x14ac:dyDescent="0.25">
      <c r="B1499" s="3"/>
      <c r="D1499" s="3"/>
    </row>
    <row r="1500" spans="2:4" x14ac:dyDescent="0.25">
      <c r="B1500" s="3"/>
      <c r="D1500" s="3"/>
    </row>
    <row r="1501" spans="2:4" x14ac:dyDescent="0.25">
      <c r="B1501" s="3"/>
      <c r="D1501" s="3"/>
    </row>
    <row r="1502" spans="2:4" x14ac:dyDescent="0.25">
      <c r="B1502" s="3"/>
      <c r="D1502" s="3"/>
    </row>
    <row r="1503" spans="2:4" x14ac:dyDescent="0.25">
      <c r="B1503" s="3"/>
      <c r="D1503" s="3"/>
    </row>
    <row r="1504" spans="2:4" x14ac:dyDescent="0.25">
      <c r="B1504" s="3"/>
      <c r="D1504" s="3"/>
    </row>
    <row r="1505" spans="2:4" x14ac:dyDescent="0.25">
      <c r="B1505" s="3"/>
      <c r="D1505" s="3"/>
    </row>
    <row r="1506" spans="2:4" x14ac:dyDescent="0.25">
      <c r="B1506" s="3"/>
      <c r="D1506" s="3"/>
    </row>
    <row r="1507" spans="2:4" x14ac:dyDescent="0.25">
      <c r="B1507" s="3"/>
      <c r="D1507" s="3"/>
    </row>
    <row r="1508" spans="2:4" x14ac:dyDescent="0.25">
      <c r="B1508" s="3"/>
      <c r="D1508" s="3"/>
    </row>
    <row r="1509" spans="2:4" x14ac:dyDescent="0.25">
      <c r="B1509" s="3"/>
      <c r="D1509" s="3"/>
    </row>
    <row r="1510" spans="2:4" x14ac:dyDescent="0.25">
      <c r="B1510" s="3"/>
      <c r="D1510" s="3"/>
    </row>
    <row r="1511" spans="2:4" x14ac:dyDescent="0.25">
      <c r="B1511" s="3"/>
      <c r="D1511" s="3"/>
    </row>
    <row r="1512" spans="2:4" x14ac:dyDescent="0.25">
      <c r="B1512" s="3"/>
      <c r="D1512" s="3"/>
    </row>
    <row r="1513" spans="2:4" x14ac:dyDescent="0.25">
      <c r="B1513" s="3"/>
      <c r="D1513" s="3"/>
    </row>
    <row r="1514" spans="2:4" x14ac:dyDescent="0.25">
      <c r="B1514" s="3"/>
      <c r="D1514" s="3"/>
    </row>
    <row r="1515" spans="2:4" x14ac:dyDescent="0.25">
      <c r="B1515" s="3"/>
      <c r="D1515" s="3"/>
    </row>
    <row r="1516" spans="2:4" x14ac:dyDescent="0.25">
      <c r="B1516" s="3"/>
      <c r="D1516" s="3"/>
    </row>
    <row r="1517" spans="2:4" x14ac:dyDescent="0.25">
      <c r="B1517" s="3"/>
      <c r="D1517" s="3"/>
    </row>
    <row r="1518" spans="2:4" x14ac:dyDescent="0.25">
      <c r="B1518" s="3"/>
      <c r="D1518" s="3"/>
    </row>
    <row r="1519" spans="2:4" x14ac:dyDescent="0.25">
      <c r="B1519" s="3"/>
      <c r="D1519" s="3"/>
    </row>
    <row r="1520" spans="2:4" x14ac:dyDescent="0.25">
      <c r="B1520" s="3"/>
      <c r="D1520" s="3"/>
    </row>
    <row r="1521" spans="2:4" x14ac:dyDescent="0.25">
      <c r="B1521" s="3"/>
      <c r="D1521" s="3"/>
    </row>
    <row r="1522" spans="2:4" x14ac:dyDescent="0.25">
      <c r="B1522" s="3"/>
      <c r="D1522" s="3"/>
    </row>
    <row r="1523" spans="2:4" x14ac:dyDescent="0.25">
      <c r="B1523" s="3"/>
      <c r="D1523" s="3"/>
    </row>
    <row r="1524" spans="2:4" x14ac:dyDescent="0.25">
      <c r="B1524" s="3"/>
      <c r="D1524" s="3"/>
    </row>
    <row r="1525" spans="2:4" x14ac:dyDescent="0.25">
      <c r="B1525" s="3"/>
      <c r="D1525" s="3"/>
    </row>
    <row r="1526" spans="2:4" x14ac:dyDescent="0.25">
      <c r="B1526" s="3"/>
      <c r="D1526" s="3"/>
    </row>
    <row r="1527" spans="2:4" x14ac:dyDescent="0.25">
      <c r="B1527" s="3"/>
      <c r="D1527" s="3"/>
    </row>
    <row r="1528" spans="2:4" x14ac:dyDescent="0.25">
      <c r="B1528" s="3"/>
      <c r="D1528" s="3"/>
    </row>
    <row r="1529" spans="2:4" x14ac:dyDescent="0.25">
      <c r="B1529" s="3"/>
      <c r="D1529" s="3"/>
    </row>
    <row r="1530" spans="2:4" x14ac:dyDescent="0.25">
      <c r="B1530" s="3"/>
      <c r="D1530" s="3"/>
    </row>
    <row r="1531" spans="2:4" x14ac:dyDescent="0.25">
      <c r="B1531" s="3"/>
      <c r="D1531" s="3"/>
    </row>
    <row r="1532" spans="2:4" x14ac:dyDescent="0.25">
      <c r="B1532" s="3"/>
      <c r="D1532" s="3"/>
    </row>
    <row r="1533" spans="2:4" x14ac:dyDescent="0.25">
      <c r="B1533" s="3"/>
      <c r="D1533" s="3"/>
    </row>
    <row r="1534" spans="2:4" x14ac:dyDescent="0.25">
      <c r="B1534" s="3"/>
      <c r="D1534" s="3"/>
    </row>
    <row r="1535" spans="2:4" x14ac:dyDescent="0.25">
      <c r="B1535" s="3"/>
      <c r="D1535" s="3"/>
    </row>
    <row r="1536" spans="2:4" x14ac:dyDescent="0.25">
      <c r="B1536" s="3"/>
      <c r="D1536" s="3"/>
    </row>
    <row r="1537" spans="2:4" x14ac:dyDescent="0.25">
      <c r="B1537" s="3"/>
      <c r="D1537" s="3"/>
    </row>
    <row r="1538" spans="2:4" x14ac:dyDescent="0.25">
      <c r="B1538" s="3"/>
      <c r="D1538" s="3"/>
    </row>
    <row r="1539" spans="2:4" x14ac:dyDescent="0.25">
      <c r="B1539" s="3"/>
      <c r="D1539" s="3"/>
    </row>
    <row r="1540" spans="2:4" x14ac:dyDescent="0.25">
      <c r="B1540" s="3"/>
      <c r="D1540" s="3"/>
    </row>
    <row r="1541" spans="2:4" x14ac:dyDescent="0.25">
      <c r="B1541" s="3"/>
      <c r="D1541" s="3"/>
    </row>
    <row r="1542" spans="2:4" x14ac:dyDescent="0.25">
      <c r="B1542" s="3"/>
      <c r="D1542" s="3"/>
    </row>
    <row r="1543" spans="2:4" x14ac:dyDescent="0.25">
      <c r="B1543" s="3"/>
      <c r="D1543" s="3"/>
    </row>
    <row r="1544" spans="2:4" x14ac:dyDescent="0.25">
      <c r="B1544" s="3"/>
      <c r="D1544" s="3"/>
    </row>
    <row r="1545" spans="2:4" x14ac:dyDescent="0.25">
      <c r="B1545" s="3"/>
      <c r="D1545" s="3"/>
    </row>
    <row r="1546" spans="2:4" x14ac:dyDescent="0.25">
      <c r="B1546" s="3"/>
      <c r="D1546" s="3"/>
    </row>
    <row r="1547" spans="2:4" x14ac:dyDescent="0.25">
      <c r="B1547" s="3"/>
      <c r="D1547" s="3"/>
    </row>
    <row r="1548" spans="2:4" x14ac:dyDescent="0.25">
      <c r="B1548" s="3"/>
      <c r="D1548" s="3"/>
    </row>
    <row r="1549" spans="2:4" x14ac:dyDescent="0.25">
      <c r="B1549" s="3"/>
      <c r="D1549" s="3"/>
    </row>
    <row r="1550" spans="2:4" x14ac:dyDescent="0.25">
      <c r="B1550" s="3"/>
      <c r="D1550" s="3"/>
    </row>
    <row r="1551" spans="2:4" x14ac:dyDescent="0.25">
      <c r="B1551" s="3"/>
      <c r="D1551" s="3"/>
    </row>
    <row r="1552" spans="2:4" x14ac:dyDescent="0.25">
      <c r="B1552" s="3"/>
      <c r="D1552" s="3"/>
    </row>
    <row r="1553" spans="2:4" x14ac:dyDescent="0.25">
      <c r="B1553" s="3"/>
      <c r="D1553" s="3"/>
    </row>
    <row r="1554" spans="2:4" x14ac:dyDescent="0.25">
      <c r="B1554" s="3"/>
      <c r="D1554" s="3"/>
    </row>
    <row r="1555" spans="2:4" x14ac:dyDescent="0.25">
      <c r="B1555" s="3"/>
      <c r="D1555" s="3"/>
    </row>
    <row r="1556" spans="2:4" x14ac:dyDescent="0.25">
      <c r="B1556" s="3"/>
      <c r="D1556" s="3"/>
    </row>
    <row r="1557" spans="2:4" x14ac:dyDescent="0.25">
      <c r="B1557" s="3"/>
      <c r="D1557" s="3"/>
    </row>
    <row r="1558" spans="2:4" x14ac:dyDescent="0.25">
      <c r="B1558" s="3"/>
      <c r="D1558" s="3"/>
    </row>
    <row r="1559" spans="2:4" x14ac:dyDescent="0.25">
      <c r="B1559" s="3"/>
      <c r="D1559" s="3"/>
    </row>
    <row r="1560" spans="2:4" x14ac:dyDescent="0.25">
      <c r="B1560" s="3"/>
      <c r="D1560" s="3"/>
    </row>
    <row r="1561" spans="2:4" x14ac:dyDescent="0.25">
      <c r="B1561" s="3"/>
      <c r="D1561" s="3"/>
    </row>
    <row r="1562" spans="2:4" x14ac:dyDescent="0.25">
      <c r="B1562" s="3"/>
      <c r="D1562" s="3"/>
    </row>
    <row r="1563" spans="2:4" x14ac:dyDescent="0.25">
      <c r="B1563" s="3"/>
      <c r="D1563" s="3"/>
    </row>
    <row r="1564" spans="2:4" x14ac:dyDescent="0.25">
      <c r="B1564" s="3"/>
      <c r="D1564" s="3"/>
    </row>
    <row r="1565" spans="2:4" x14ac:dyDescent="0.25">
      <c r="B1565" s="3"/>
      <c r="D1565" s="3"/>
    </row>
    <row r="1566" spans="2:4" x14ac:dyDescent="0.25">
      <c r="B1566" s="3"/>
      <c r="D1566" s="3"/>
    </row>
    <row r="1567" spans="2:4" x14ac:dyDescent="0.25">
      <c r="B1567" s="3"/>
      <c r="D1567" s="3"/>
    </row>
    <row r="1568" spans="2:4" x14ac:dyDescent="0.25">
      <c r="B1568" s="3"/>
      <c r="D1568" s="3"/>
    </row>
    <row r="1569" spans="2:4" x14ac:dyDescent="0.25">
      <c r="B1569" s="3"/>
      <c r="D1569" s="3"/>
    </row>
    <row r="1570" spans="2:4" x14ac:dyDescent="0.25">
      <c r="B1570" s="3"/>
      <c r="D1570" s="3"/>
    </row>
    <row r="1571" spans="2:4" x14ac:dyDescent="0.25">
      <c r="B1571" s="3"/>
      <c r="D1571" s="3"/>
    </row>
    <row r="1572" spans="2:4" x14ac:dyDescent="0.25">
      <c r="B1572" s="3"/>
      <c r="D1572" s="3"/>
    </row>
    <row r="1573" spans="2:4" x14ac:dyDescent="0.25">
      <c r="B1573" s="3"/>
      <c r="D1573" s="3"/>
    </row>
    <row r="1574" spans="2:4" x14ac:dyDescent="0.25">
      <c r="B1574" s="3"/>
      <c r="D1574" s="3"/>
    </row>
    <row r="1575" spans="2:4" x14ac:dyDescent="0.25">
      <c r="B1575" s="3"/>
      <c r="D1575" s="3"/>
    </row>
    <row r="1576" spans="2:4" x14ac:dyDescent="0.25">
      <c r="B1576" s="3"/>
      <c r="D1576" s="3"/>
    </row>
    <row r="1577" spans="2:4" x14ac:dyDescent="0.25">
      <c r="B1577" s="3"/>
      <c r="D1577" s="3"/>
    </row>
    <row r="1578" spans="2:4" x14ac:dyDescent="0.25">
      <c r="B1578" s="3"/>
      <c r="D1578" s="3"/>
    </row>
    <row r="1579" spans="2:4" x14ac:dyDescent="0.25">
      <c r="B1579" s="3"/>
      <c r="D1579" s="3"/>
    </row>
    <row r="1580" spans="2:4" x14ac:dyDescent="0.25">
      <c r="B1580" s="3"/>
      <c r="D1580" s="3"/>
    </row>
    <row r="1581" spans="2:4" x14ac:dyDescent="0.25">
      <c r="B1581" s="3"/>
      <c r="D1581" s="3"/>
    </row>
    <row r="1582" spans="2:4" x14ac:dyDescent="0.25">
      <c r="B1582" s="3"/>
      <c r="D1582" s="3"/>
    </row>
    <row r="1583" spans="2:4" x14ac:dyDescent="0.25">
      <c r="B1583" s="3"/>
      <c r="D1583" s="3"/>
    </row>
    <row r="1584" spans="2:4" x14ac:dyDescent="0.25">
      <c r="B1584" s="3"/>
      <c r="D1584" s="3"/>
    </row>
    <row r="1585" spans="2:4" x14ac:dyDescent="0.25">
      <c r="B1585" s="3"/>
      <c r="D1585" s="3"/>
    </row>
    <row r="1586" spans="2:4" x14ac:dyDescent="0.25">
      <c r="B1586" s="3"/>
      <c r="D1586" s="3"/>
    </row>
    <row r="1587" spans="2:4" x14ac:dyDescent="0.25">
      <c r="B1587" s="3"/>
      <c r="D1587" s="3"/>
    </row>
    <row r="1588" spans="2:4" x14ac:dyDescent="0.25">
      <c r="B1588" s="3"/>
      <c r="D1588" s="3"/>
    </row>
    <row r="1589" spans="2:4" x14ac:dyDescent="0.25">
      <c r="B1589" s="3"/>
      <c r="D1589" s="3"/>
    </row>
    <row r="1590" spans="2:4" x14ac:dyDescent="0.25">
      <c r="B1590" s="3"/>
      <c r="D1590" s="3"/>
    </row>
    <row r="1591" spans="2:4" x14ac:dyDescent="0.25">
      <c r="B1591" s="3"/>
      <c r="D1591" s="3"/>
    </row>
    <row r="1592" spans="2:4" x14ac:dyDescent="0.25">
      <c r="B1592" s="3"/>
      <c r="D1592" s="3"/>
    </row>
    <row r="1593" spans="2:4" x14ac:dyDescent="0.25">
      <c r="B1593" s="3"/>
      <c r="D1593" s="3"/>
    </row>
    <row r="1594" spans="2:4" x14ac:dyDescent="0.25">
      <c r="B1594" s="3"/>
      <c r="D1594" s="3"/>
    </row>
    <row r="1595" spans="2:4" x14ac:dyDescent="0.25">
      <c r="B1595" s="3"/>
      <c r="D1595" s="3"/>
    </row>
    <row r="1596" spans="2:4" x14ac:dyDescent="0.25">
      <c r="B1596" s="3"/>
      <c r="D1596" s="3"/>
    </row>
    <row r="1597" spans="2:4" x14ac:dyDescent="0.25">
      <c r="B1597" s="3"/>
      <c r="D1597" s="3"/>
    </row>
    <row r="1598" spans="2:4" x14ac:dyDescent="0.25">
      <c r="B1598" s="3"/>
      <c r="D1598" s="3"/>
    </row>
    <row r="1599" spans="2:4" x14ac:dyDescent="0.25">
      <c r="B1599" s="3"/>
      <c r="D1599" s="3"/>
    </row>
    <row r="1600" spans="2:4" x14ac:dyDescent="0.25">
      <c r="B1600" s="3"/>
      <c r="D1600" s="3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RJ Crustaceos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s.harper</dc:creator>
  <cp:lastModifiedBy>PC</cp:lastModifiedBy>
  <cp:lastPrinted>2012-07-30T11:59:05Z</cp:lastPrinted>
  <dcterms:created xsi:type="dcterms:W3CDTF">2010-02-17T19:45:05Z</dcterms:created>
  <dcterms:modified xsi:type="dcterms:W3CDTF">2025-06-21T00:03:16Z</dcterms:modified>
</cp:coreProperties>
</file>